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I\AI_giao_duc\Au-Viet-My\ChamCong_Project\EVUS\"/>
    </mc:Choice>
  </mc:AlternateContent>
  <xr:revisionPtr revIDLastSave="0" documentId="13_ncr:1_{C9378F0D-2A98-47CC-9B10-A7415E51F8E1}" xr6:coauthVersionLast="47" xr6:coauthVersionMax="47" xr10:uidLastSave="{00000000-0000-0000-0000-000000000000}"/>
  <bookViews>
    <workbookView xWindow="-98" yWindow="-98" windowWidth="22695" windowHeight="14595" tabRatio="766" activeTab="1" xr2:uid="{00000000-000D-0000-FFFF-FFFF00000000}"/>
  </bookViews>
  <sheets>
    <sheet name="LƯƠNG " sheetId="1" r:id="rId1"/>
    <sheet name="B. GV- NVCH" sheetId="2" r:id="rId2"/>
    <sheet name="D. GV TT " sheetId="3" r:id="rId3"/>
  </sheets>
  <externalReferences>
    <externalReference r:id="rId4"/>
    <externalReference r:id="rId5"/>
  </externalReferences>
  <definedNames>
    <definedName name="_xlnm._FilterDatabase" localSheetId="0" hidden="1">'LƯƠNG '!$A$7:$AA$117</definedName>
    <definedName name="_xlnm.Print_Area" localSheetId="0">'LƯƠNG '!$A$1:$U$124</definedName>
    <definedName name="_xlnm.Print_Titles" localSheetId="0">'LƯƠNG 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28" i="3" l="1"/>
  <c r="CH28" i="3"/>
  <c r="CB28" i="3"/>
  <c r="CA28" i="3"/>
  <c r="BV28" i="3"/>
  <c r="BU28" i="3"/>
  <c r="BP28" i="3"/>
  <c r="BO28" i="3"/>
  <c r="BJ28" i="3"/>
  <c r="BI28" i="3"/>
  <c r="BD28" i="3"/>
  <c r="BC28" i="3"/>
  <c r="AX28" i="3"/>
  <c r="AR28" i="3"/>
  <c r="AQ28" i="3"/>
  <c r="AL28" i="3"/>
  <c r="AF28" i="3"/>
  <c r="AE28" i="3"/>
  <c r="Z28" i="3"/>
  <c r="Y28" i="3"/>
  <c r="T28" i="3"/>
  <c r="N28" i="3"/>
  <c r="H28" i="3"/>
  <c r="CM27" i="3"/>
  <c r="CG27" i="3"/>
  <c r="CA27" i="3"/>
  <c r="BU27" i="3"/>
  <c r="BO27" i="3"/>
  <c r="BI27" i="3"/>
  <c r="BC27" i="3"/>
  <c r="AW27" i="3"/>
  <c r="AQ27" i="3"/>
  <c r="AK27" i="3"/>
  <c r="Y27" i="3"/>
  <c r="S27" i="3"/>
  <c r="M27" i="3"/>
  <c r="G27" i="3"/>
  <c r="CM26" i="3"/>
  <c r="CG26" i="3"/>
  <c r="CA26" i="3"/>
  <c r="BU26" i="3"/>
  <c r="BO26" i="3"/>
  <c r="BI26" i="3"/>
  <c r="BC26" i="3"/>
  <c r="AW26" i="3"/>
  <c r="AQ26" i="3"/>
  <c r="AK26" i="3"/>
  <c r="AE26" i="3"/>
  <c r="Y26" i="3"/>
  <c r="S26" i="3"/>
  <c r="M26" i="3"/>
  <c r="G26" i="3"/>
  <c r="CM25" i="3"/>
  <c r="CG25" i="3"/>
  <c r="CA25" i="3"/>
  <c r="BU25" i="3"/>
  <c r="BO25" i="3"/>
  <c r="BI25" i="3"/>
  <c r="BC25" i="3"/>
  <c r="AW25" i="3"/>
  <c r="AQ25" i="3"/>
  <c r="AK25" i="3"/>
  <c r="AE25" i="3"/>
  <c r="Y25" i="3"/>
  <c r="S25" i="3"/>
  <c r="M25" i="3"/>
  <c r="G25" i="3"/>
  <c r="CM24" i="3"/>
  <c r="CG24" i="3"/>
  <c r="CA24" i="3"/>
  <c r="BU24" i="3"/>
  <c r="BO24" i="3"/>
  <c r="BI24" i="3"/>
  <c r="BC24" i="3"/>
  <c r="AW24" i="3"/>
  <c r="AQ24" i="3"/>
  <c r="AK24" i="3"/>
  <c r="AE24" i="3"/>
  <c r="Y24" i="3"/>
  <c r="S24" i="3"/>
  <c r="M24" i="3"/>
  <c r="G24" i="3"/>
  <c r="CI23" i="3"/>
  <c r="CM23" i="3" s="1"/>
  <c r="CC23" i="3"/>
  <c r="CG23" i="3" s="1"/>
  <c r="BW23" i="3"/>
  <c r="CA23" i="3" s="1"/>
  <c r="BQ23" i="3"/>
  <c r="BU23" i="3" s="1"/>
  <c r="BK23" i="3"/>
  <c r="BO23" i="3" s="1"/>
  <c r="BE23" i="3"/>
  <c r="BI23" i="3" s="1"/>
  <c r="AY23" i="3"/>
  <c r="BC23" i="3" s="1"/>
  <c r="AS23" i="3"/>
  <c r="AW23" i="3" s="1"/>
  <c r="AM23" i="3"/>
  <c r="AQ23" i="3" s="1"/>
  <c r="AG23" i="3"/>
  <c r="AK23" i="3" s="1"/>
  <c r="AE23" i="3"/>
  <c r="AA23" i="3"/>
  <c r="U23" i="3"/>
  <c r="Y23" i="3" s="1"/>
  <c r="O23" i="3"/>
  <c r="S23" i="3" s="1"/>
  <c r="I23" i="3"/>
  <c r="M23" i="3" s="1"/>
  <c r="C23" i="3"/>
  <c r="G23" i="3" s="1"/>
  <c r="CM22" i="3"/>
  <c r="J70" i="1" s="1"/>
  <c r="CG22" i="3"/>
  <c r="J69" i="1" s="1"/>
  <c r="CA22" i="3"/>
  <c r="BU22" i="3"/>
  <c r="J67" i="1" s="1"/>
  <c r="BO22" i="3"/>
  <c r="J66" i="1" s="1"/>
  <c r="BI22" i="3"/>
  <c r="BC22" i="3"/>
  <c r="AW22" i="3"/>
  <c r="J63" i="1" s="1"/>
  <c r="AQ22" i="3"/>
  <c r="J62" i="1" s="1"/>
  <c r="AK22" i="3"/>
  <c r="AE22" i="3"/>
  <c r="Y22" i="3"/>
  <c r="J59" i="1" s="1"/>
  <c r="S22" i="3"/>
  <c r="J58" i="1" s="1"/>
  <c r="M22" i="3"/>
  <c r="G22" i="3"/>
  <c r="J56" i="1" s="1"/>
  <c r="CM21" i="3"/>
  <c r="CG21" i="3"/>
  <c r="CA21" i="3"/>
  <c r="BU21" i="3"/>
  <c r="BO21" i="3"/>
  <c r="BI21" i="3"/>
  <c r="BC21" i="3"/>
  <c r="AW21" i="3"/>
  <c r="AQ21" i="3"/>
  <c r="AK21" i="3"/>
  <c r="AE21" i="3"/>
  <c r="Y21" i="3"/>
  <c r="S21" i="3"/>
  <c r="M21" i="3"/>
  <c r="G21" i="3"/>
  <c r="CL20" i="3"/>
  <c r="CK20" i="3"/>
  <c r="CJ20" i="3"/>
  <c r="CF20" i="3"/>
  <c r="CE20" i="3"/>
  <c r="CD20" i="3"/>
  <c r="BZ20" i="3"/>
  <c r="BY20" i="3"/>
  <c r="BX20" i="3"/>
  <c r="BT20" i="3"/>
  <c r="BS20" i="3"/>
  <c r="BR20" i="3"/>
  <c r="BN20" i="3"/>
  <c r="BM20" i="3"/>
  <c r="BL20" i="3"/>
  <c r="BH20" i="3"/>
  <c r="BG20" i="3"/>
  <c r="BF20" i="3"/>
  <c r="BB20" i="3"/>
  <c r="BA20" i="3"/>
  <c r="AZ20" i="3"/>
  <c r="AV20" i="3"/>
  <c r="AU20" i="3"/>
  <c r="AP20" i="3"/>
  <c r="AO20" i="3"/>
  <c r="AJ20" i="3"/>
  <c r="AI20" i="3"/>
  <c r="AD20" i="3"/>
  <c r="AC20" i="3"/>
  <c r="AB20" i="3"/>
  <c r="X20" i="3"/>
  <c r="W20" i="3"/>
  <c r="R20" i="3"/>
  <c r="Q20" i="3"/>
  <c r="L20" i="3"/>
  <c r="K20" i="3"/>
  <c r="J20" i="3"/>
  <c r="F20" i="3"/>
  <c r="E20" i="3"/>
  <c r="D20" i="3"/>
  <c r="CM19" i="3"/>
  <c r="CG19" i="3"/>
  <c r="CA19" i="3"/>
  <c r="BU19" i="3"/>
  <c r="BO19" i="3"/>
  <c r="BI19" i="3"/>
  <c r="BC19" i="3"/>
  <c r="AW19" i="3"/>
  <c r="AQ19" i="3"/>
  <c r="AK19" i="3"/>
  <c r="AE19" i="3"/>
  <c r="Y19" i="3"/>
  <c r="S19" i="3"/>
  <c r="M19" i="3"/>
  <c r="G19" i="3"/>
  <c r="CM18" i="3"/>
  <c r="CG18" i="3"/>
  <c r="CA18" i="3"/>
  <c r="BU18" i="3"/>
  <c r="BO18" i="3"/>
  <c r="BI18" i="3"/>
  <c r="BC18" i="3"/>
  <c r="AW18" i="3"/>
  <c r="AQ18" i="3"/>
  <c r="AK18" i="3"/>
  <c r="AE18" i="3"/>
  <c r="Y18" i="3"/>
  <c r="S18" i="3"/>
  <c r="M18" i="3"/>
  <c r="G18" i="3"/>
  <c r="CM17" i="3"/>
  <c r="CG17" i="3"/>
  <c r="CA17" i="3"/>
  <c r="BU17" i="3"/>
  <c r="BO17" i="3"/>
  <c r="BI17" i="3"/>
  <c r="BC17" i="3"/>
  <c r="AW17" i="3"/>
  <c r="AQ17" i="3"/>
  <c r="AK17" i="3"/>
  <c r="AE17" i="3"/>
  <c r="Y17" i="3"/>
  <c r="S17" i="3"/>
  <c r="M17" i="3"/>
  <c r="G17" i="3"/>
  <c r="CM16" i="3"/>
  <c r="CG16" i="3"/>
  <c r="CA16" i="3"/>
  <c r="BU16" i="3"/>
  <c r="BO16" i="3"/>
  <c r="BI16" i="3"/>
  <c r="BC16" i="3"/>
  <c r="AW16" i="3"/>
  <c r="AQ16" i="3"/>
  <c r="AK16" i="3"/>
  <c r="AE16" i="3"/>
  <c r="Y16" i="3"/>
  <c r="S16" i="3"/>
  <c r="M16" i="3"/>
  <c r="G16" i="3"/>
  <c r="CM15" i="3"/>
  <c r="CG15" i="3"/>
  <c r="CA15" i="3"/>
  <c r="BU15" i="3"/>
  <c r="BO15" i="3"/>
  <c r="BI15" i="3"/>
  <c r="BC15" i="3"/>
  <c r="AW15" i="3"/>
  <c r="AQ15" i="3"/>
  <c r="AK15" i="3"/>
  <c r="AE15" i="3"/>
  <c r="Y15" i="3"/>
  <c r="S15" i="3"/>
  <c r="M15" i="3"/>
  <c r="G15" i="3"/>
  <c r="CK14" i="3"/>
  <c r="CK10" i="3" s="1"/>
  <c r="CN10" i="3" s="1"/>
  <c r="CG14" i="3"/>
  <c r="CA14" i="3"/>
  <c r="BU14" i="3"/>
  <c r="BO14" i="3"/>
  <c r="BI14" i="3"/>
  <c r="BC14" i="3"/>
  <c r="AW14" i="3"/>
  <c r="AQ14" i="3"/>
  <c r="AK14" i="3"/>
  <c r="AE14" i="3"/>
  <c r="Y14" i="3"/>
  <c r="S14" i="3"/>
  <c r="M14" i="3"/>
  <c r="G14" i="3"/>
  <c r="CM13" i="3"/>
  <c r="CG13" i="3"/>
  <c r="CA13" i="3"/>
  <c r="BU13" i="3"/>
  <c r="BO13" i="3"/>
  <c r="BI13" i="3"/>
  <c r="BC13" i="3"/>
  <c r="AW13" i="3"/>
  <c r="AQ13" i="3"/>
  <c r="AK13" i="3"/>
  <c r="AE13" i="3"/>
  <c r="Y13" i="3"/>
  <c r="S13" i="3"/>
  <c r="M13" i="3"/>
  <c r="G13" i="3"/>
  <c r="CM12" i="3"/>
  <c r="CG12" i="3"/>
  <c r="CA12" i="3"/>
  <c r="BU12" i="3"/>
  <c r="BO12" i="3"/>
  <c r="BI12" i="3"/>
  <c r="BA12" i="3"/>
  <c r="BC12" i="3" s="1"/>
  <c r="AU12" i="3"/>
  <c r="AU10" i="3" s="1"/>
  <c r="AO12" i="3"/>
  <c r="AQ12" i="3" s="1"/>
  <c r="AK12" i="3"/>
  <c r="AE12" i="3"/>
  <c r="Y12" i="3"/>
  <c r="S12" i="3"/>
  <c r="M12" i="3"/>
  <c r="G12" i="3"/>
  <c r="CM11" i="3"/>
  <c r="CG11" i="3"/>
  <c r="CA11" i="3"/>
  <c r="BU11" i="3"/>
  <c r="BO11" i="3"/>
  <c r="BI11" i="3"/>
  <c r="BC11" i="3"/>
  <c r="AW11" i="3"/>
  <c r="AQ11" i="3"/>
  <c r="AK11" i="3"/>
  <c r="AE11" i="3"/>
  <c r="Y11" i="3"/>
  <c r="S11" i="3"/>
  <c r="M11" i="3"/>
  <c r="G11" i="3"/>
  <c r="CL10" i="3"/>
  <c r="CJ10" i="3"/>
  <c r="CF10" i="3"/>
  <c r="CE10" i="3"/>
  <c r="CD10" i="3"/>
  <c r="BZ10" i="3"/>
  <c r="BY10" i="3"/>
  <c r="BX10" i="3"/>
  <c r="BT10" i="3"/>
  <c r="BS10" i="3"/>
  <c r="BR10" i="3"/>
  <c r="BN10" i="3"/>
  <c r="BM10" i="3"/>
  <c r="BL10" i="3"/>
  <c r="BH10" i="3"/>
  <c r="BG10" i="3"/>
  <c r="BF10" i="3"/>
  <c r="BB10" i="3"/>
  <c r="AZ10" i="3"/>
  <c r="AV10" i="3"/>
  <c r="AT10" i="3"/>
  <c r="AP10" i="3"/>
  <c r="AN10" i="3"/>
  <c r="AJ10" i="3"/>
  <c r="AI10" i="3"/>
  <c r="AH10" i="3"/>
  <c r="AD10" i="3"/>
  <c r="AC10" i="3"/>
  <c r="AB10" i="3"/>
  <c r="X10" i="3"/>
  <c r="W10" i="3"/>
  <c r="V10" i="3"/>
  <c r="R10" i="3"/>
  <c r="Q10" i="3"/>
  <c r="P10" i="3"/>
  <c r="L10" i="3"/>
  <c r="K10" i="3"/>
  <c r="J10" i="3"/>
  <c r="F10" i="3"/>
  <c r="E10" i="3"/>
  <c r="D10" i="3"/>
  <c r="CN6" i="3"/>
  <c r="CM6" i="3"/>
  <c r="CH6" i="3"/>
  <c r="CG6" i="3"/>
  <c r="CB6" i="3"/>
  <c r="CA6" i="3"/>
  <c r="BV6" i="3"/>
  <c r="BU6" i="3"/>
  <c r="BP6" i="3"/>
  <c r="BO6" i="3"/>
  <c r="BJ6" i="3"/>
  <c r="BI6" i="3"/>
  <c r="BD6" i="3"/>
  <c r="BC6" i="3"/>
  <c r="AX6" i="3"/>
  <c r="AW6" i="3"/>
  <c r="AR6" i="3"/>
  <c r="AQ6" i="3"/>
  <c r="AL6" i="3"/>
  <c r="AK6" i="3"/>
  <c r="AF6" i="3"/>
  <c r="AE6" i="3"/>
  <c r="Z6" i="3"/>
  <c r="Y6" i="3"/>
  <c r="T6" i="3"/>
  <c r="S6" i="3"/>
  <c r="N6" i="3"/>
  <c r="M6" i="3"/>
  <c r="H6" i="3"/>
  <c r="G6" i="3"/>
  <c r="AT119" i="1"/>
  <c r="AU120" i="1" s="1"/>
  <c r="AS119" i="1"/>
  <c r="AU119" i="1" s="1"/>
  <c r="O117" i="1"/>
  <c r="F115" i="1"/>
  <c r="N115" i="1" s="1"/>
  <c r="T115" i="1" s="1"/>
  <c r="F114" i="1"/>
  <c r="N114" i="1" s="1"/>
  <c r="T114" i="1" s="1"/>
  <c r="F113" i="1"/>
  <c r="N113" i="1" s="1"/>
  <c r="T113" i="1" s="1"/>
  <c r="K112" i="1"/>
  <c r="F112" i="1"/>
  <c r="N112" i="1" s="1"/>
  <c r="T112" i="1" s="1"/>
  <c r="N111" i="1"/>
  <c r="T111" i="1" s="1"/>
  <c r="U116" i="1" s="1"/>
  <c r="F111" i="1"/>
  <c r="X110" i="1"/>
  <c r="Y110" i="1" s="1"/>
  <c r="S107" i="1"/>
  <c r="K107" i="1"/>
  <c r="F107" i="1"/>
  <c r="N107" i="1" s="1"/>
  <c r="T107" i="1" s="1"/>
  <c r="S106" i="1"/>
  <c r="K106" i="1"/>
  <c r="F106" i="1"/>
  <c r="N106" i="1" s="1"/>
  <c r="S105" i="1"/>
  <c r="K105" i="1"/>
  <c r="F105" i="1"/>
  <c r="N105" i="1" s="1"/>
  <c r="S104" i="1"/>
  <c r="F104" i="1"/>
  <c r="N104" i="1" s="1"/>
  <c r="T104" i="1" s="1"/>
  <c r="S103" i="1"/>
  <c r="K103" i="1"/>
  <c r="F103" i="1"/>
  <c r="N103" i="1" s="1"/>
  <c r="S102" i="1"/>
  <c r="K102" i="1"/>
  <c r="F102" i="1"/>
  <c r="N102" i="1" s="1"/>
  <c r="S101" i="1"/>
  <c r="F101" i="1"/>
  <c r="N101" i="1" s="1"/>
  <c r="S100" i="1"/>
  <c r="F100" i="1"/>
  <c r="N100" i="1" s="1"/>
  <c r="T100" i="1" s="1"/>
  <c r="S99" i="1"/>
  <c r="F99" i="1"/>
  <c r="N99" i="1" s="1"/>
  <c r="S98" i="1"/>
  <c r="K98" i="1"/>
  <c r="F98" i="1"/>
  <c r="N98" i="1" s="1"/>
  <c r="T98" i="1" s="1"/>
  <c r="S97" i="1"/>
  <c r="K97" i="1"/>
  <c r="F97" i="1"/>
  <c r="N97" i="1" s="1"/>
  <c r="S96" i="1"/>
  <c r="K96" i="1"/>
  <c r="F96" i="1"/>
  <c r="N96" i="1" s="1"/>
  <c r="S95" i="1"/>
  <c r="K95" i="1"/>
  <c r="F95" i="1"/>
  <c r="N95" i="1" s="1"/>
  <c r="T95" i="1" s="1"/>
  <c r="S94" i="1"/>
  <c r="K94" i="1"/>
  <c r="F94" i="1"/>
  <c r="N94" i="1" s="1"/>
  <c r="S93" i="1"/>
  <c r="K93" i="1"/>
  <c r="H93" i="1"/>
  <c r="F93" i="1"/>
  <c r="N93" i="1" s="1"/>
  <c r="T93" i="1" s="1"/>
  <c r="S92" i="1"/>
  <c r="K92" i="1"/>
  <c r="H92" i="1"/>
  <c r="F92" i="1"/>
  <c r="N92" i="1" s="1"/>
  <c r="S91" i="1"/>
  <c r="K91" i="1"/>
  <c r="H91" i="1"/>
  <c r="F91" i="1"/>
  <c r="N91" i="1" s="1"/>
  <c r="T91" i="1" s="1"/>
  <c r="S90" i="1"/>
  <c r="K90" i="1"/>
  <c r="H90" i="1"/>
  <c r="F90" i="1"/>
  <c r="N90" i="1" s="1"/>
  <c r="S89" i="1"/>
  <c r="K89" i="1"/>
  <c r="H89" i="1"/>
  <c r="F89" i="1"/>
  <c r="N89" i="1" s="1"/>
  <c r="T89" i="1" s="1"/>
  <c r="S88" i="1"/>
  <c r="K88" i="1"/>
  <c r="H88" i="1"/>
  <c r="F88" i="1"/>
  <c r="N88" i="1" s="1"/>
  <c r="S87" i="1"/>
  <c r="F87" i="1"/>
  <c r="Q87" i="1" s="1"/>
  <c r="X86" i="1"/>
  <c r="Y86" i="1" s="1"/>
  <c r="N84" i="1"/>
  <c r="T84" i="1" s="1"/>
  <c r="S83" i="1"/>
  <c r="K83" i="1"/>
  <c r="J83" i="1"/>
  <c r="F83" i="1"/>
  <c r="N83" i="1" s="1"/>
  <c r="S82" i="1"/>
  <c r="K82" i="1"/>
  <c r="J82" i="1"/>
  <c r="F82" i="1"/>
  <c r="N82" i="1" s="1"/>
  <c r="T82" i="1" s="1"/>
  <c r="K81" i="1"/>
  <c r="J81" i="1"/>
  <c r="F81" i="1"/>
  <c r="N81" i="1" s="1"/>
  <c r="T81" i="1" s="1"/>
  <c r="S80" i="1"/>
  <c r="K80" i="1"/>
  <c r="J80" i="1"/>
  <c r="F80" i="1"/>
  <c r="N80" i="1" s="1"/>
  <c r="T80" i="1" s="1"/>
  <c r="S79" i="1"/>
  <c r="K79" i="1"/>
  <c r="J79" i="1"/>
  <c r="F79" i="1"/>
  <c r="N79" i="1" s="1"/>
  <c r="S78" i="1"/>
  <c r="K78" i="1"/>
  <c r="J78" i="1"/>
  <c r="F78" i="1"/>
  <c r="N78" i="1" s="1"/>
  <c r="T78" i="1" s="1"/>
  <c r="S77" i="1"/>
  <c r="N77" i="1"/>
  <c r="J77" i="1"/>
  <c r="H77" i="1"/>
  <c r="F77" i="1"/>
  <c r="Q77" i="1" s="1"/>
  <c r="S76" i="1"/>
  <c r="H76" i="1"/>
  <c r="F76" i="1"/>
  <c r="N76" i="1" s="1"/>
  <c r="X75" i="1"/>
  <c r="Y75" i="1" s="1"/>
  <c r="F73" i="1"/>
  <c r="N73" i="1" s="1"/>
  <c r="T73" i="1" s="1"/>
  <c r="F72" i="1"/>
  <c r="N72" i="1" s="1"/>
  <c r="T72" i="1" s="1"/>
  <c r="F71" i="1"/>
  <c r="N71" i="1" s="1"/>
  <c r="T71" i="1" s="1"/>
  <c r="J68" i="1"/>
  <c r="S65" i="1"/>
  <c r="J65" i="1"/>
  <c r="H62" i="1"/>
  <c r="S60" i="1"/>
  <c r="H59" i="1"/>
  <c r="J57" i="1"/>
  <c r="H56" i="1"/>
  <c r="X55" i="1"/>
  <c r="Y55" i="1" s="1"/>
  <c r="K53" i="1"/>
  <c r="J53" i="1"/>
  <c r="F53" i="1"/>
  <c r="N53" i="1" s="1"/>
  <c r="T53" i="1" s="1"/>
  <c r="K52" i="1"/>
  <c r="J52" i="1"/>
  <c r="F52" i="1"/>
  <c r="N52" i="1" s="1"/>
  <c r="T52" i="1" s="1"/>
  <c r="K51" i="1"/>
  <c r="J51" i="1"/>
  <c r="I51" i="1"/>
  <c r="F51" i="1"/>
  <c r="N51" i="1" s="1"/>
  <c r="T51" i="1" s="1"/>
  <c r="S50" i="1"/>
  <c r="K50" i="1"/>
  <c r="J50" i="1"/>
  <c r="F50" i="1"/>
  <c r="N50" i="1" s="1"/>
  <c r="T50" i="1" s="1"/>
  <c r="K49" i="1"/>
  <c r="J49" i="1"/>
  <c r="F49" i="1"/>
  <c r="N49" i="1" s="1"/>
  <c r="T49" i="1" s="1"/>
  <c r="K48" i="1"/>
  <c r="J48" i="1"/>
  <c r="I48" i="1"/>
  <c r="H48" i="1"/>
  <c r="F48" i="1"/>
  <c r="N48" i="1" s="1"/>
  <c r="T48" i="1" s="1"/>
  <c r="K47" i="1"/>
  <c r="J47" i="1"/>
  <c r="I47" i="1"/>
  <c r="H47" i="1"/>
  <c r="F47" i="1"/>
  <c r="N47" i="1" s="1"/>
  <c r="T47" i="1" s="1"/>
  <c r="U54" i="1" s="1"/>
  <c r="X46" i="1"/>
  <c r="T46" i="1"/>
  <c r="R44" i="1"/>
  <c r="R43" i="1"/>
  <c r="G43" i="1"/>
  <c r="S42" i="1"/>
  <c r="R42" i="1"/>
  <c r="R41" i="1"/>
  <c r="H41" i="1"/>
  <c r="G41" i="1"/>
  <c r="R40" i="1"/>
  <c r="H40" i="1"/>
  <c r="R39" i="1"/>
  <c r="H39" i="1"/>
  <c r="R38" i="1"/>
  <c r="G38" i="1"/>
  <c r="R37" i="1"/>
  <c r="H37" i="1"/>
  <c r="G37" i="1"/>
  <c r="R36" i="1"/>
  <c r="H36" i="1"/>
  <c r="G36" i="1"/>
  <c r="S35" i="1"/>
  <c r="R35" i="1"/>
  <c r="G35" i="1"/>
  <c r="R34" i="1"/>
  <c r="J34" i="1"/>
  <c r="N34" i="1" s="1"/>
  <c r="T34" i="1" s="1"/>
  <c r="R33" i="1"/>
  <c r="K33" i="1"/>
  <c r="J33" i="1"/>
  <c r="N33" i="1" s="1"/>
  <c r="R32" i="1"/>
  <c r="L32" i="1"/>
  <c r="G32" i="1"/>
  <c r="M32" i="1" s="1"/>
  <c r="R31" i="1"/>
  <c r="M31" i="1"/>
  <c r="N31" i="1" s="1"/>
  <c r="T31" i="1" s="1"/>
  <c r="K31" i="1"/>
  <c r="J31" i="1"/>
  <c r="I31" i="1"/>
  <c r="G31" i="1"/>
  <c r="F31" i="1"/>
  <c r="R30" i="1"/>
  <c r="K30" i="1"/>
  <c r="J30" i="1"/>
  <c r="G30" i="1"/>
  <c r="F30" i="1"/>
  <c r="M30" i="1" s="1"/>
  <c r="N30" i="1" s="1"/>
  <c r="R29" i="1"/>
  <c r="H29" i="1"/>
  <c r="G29" i="1"/>
  <c r="R28" i="1"/>
  <c r="H28" i="1"/>
  <c r="G28" i="1"/>
  <c r="X27" i="1"/>
  <c r="T27" i="1"/>
  <c r="Y27" i="1" s="1"/>
  <c r="Q25" i="1"/>
  <c r="N25" i="1"/>
  <c r="T25" i="1" s="1"/>
  <c r="K24" i="1"/>
  <c r="J24" i="1"/>
  <c r="F24" i="1"/>
  <c r="M24" i="1" s="1"/>
  <c r="N24" i="1" s="1"/>
  <c r="J23" i="1"/>
  <c r="G23" i="1"/>
  <c r="F23" i="1"/>
  <c r="N23" i="1" s="1"/>
  <c r="T23" i="1" s="1"/>
  <c r="J22" i="1"/>
  <c r="G22" i="1"/>
  <c r="F22" i="1"/>
  <c r="P21" i="1"/>
  <c r="L21" i="1"/>
  <c r="F21" i="1"/>
  <c r="F20" i="1"/>
  <c r="M20" i="1" s="1"/>
  <c r="N20" i="1" s="1"/>
  <c r="T20" i="1" s="1"/>
  <c r="K19" i="1"/>
  <c r="J19" i="1"/>
  <c r="F19" i="1"/>
  <c r="M19" i="1" s="1"/>
  <c r="N19" i="1" s="1"/>
  <c r="T19" i="1" s="1"/>
  <c r="L18" i="1"/>
  <c r="K18" i="1"/>
  <c r="G18" i="1"/>
  <c r="F18" i="1"/>
  <c r="M18" i="1" s="1"/>
  <c r="N18" i="1" s="1"/>
  <c r="T18" i="1" s="1"/>
  <c r="L17" i="1"/>
  <c r="K17" i="1"/>
  <c r="K117" i="1" s="1"/>
  <c r="F17" i="1"/>
  <c r="J16" i="1"/>
  <c r="N16" i="1" s="1"/>
  <c r="T16" i="1" s="1"/>
  <c r="P15" i="1"/>
  <c r="L15" i="1"/>
  <c r="J15" i="1"/>
  <c r="F15" i="1"/>
  <c r="M15" i="1" s="1"/>
  <c r="N15" i="1" s="1"/>
  <c r="X14" i="1"/>
  <c r="J14" i="1"/>
  <c r="J117" i="1" s="1"/>
  <c r="I14" i="1"/>
  <c r="I117" i="1" s="1"/>
  <c r="F14" i="1"/>
  <c r="N14" i="1" s="1"/>
  <c r="T14" i="1" s="1"/>
  <c r="X13" i="1"/>
  <c r="F13" i="1"/>
  <c r="N13" i="1" s="1"/>
  <c r="T13" i="1" s="1"/>
  <c r="X12" i="1"/>
  <c r="P12" i="1"/>
  <c r="Q12" i="1" s="1"/>
  <c r="G12" i="1"/>
  <c r="G117" i="1" s="1"/>
  <c r="F12" i="1"/>
  <c r="N12" i="1" s="1"/>
  <c r="F11" i="1"/>
  <c r="X10" i="1"/>
  <c r="F10" i="1"/>
  <c r="N10" i="1" s="1"/>
  <c r="T10" i="1" s="1"/>
  <c r="X9" i="1"/>
  <c r="F9" i="1"/>
  <c r="M9" i="1" s="1"/>
  <c r="X8" i="1"/>
  <c r="Y8" i="1" s="1"/>
  <c r="CA32" i="2"/>
  <c r="BU32" i="2"/>
  <c r="BU31" i="2" s="1"/>
  <c r="BO32" i="2"/>
  <c r="BO31" i="2" s="1"/>
  <c r="BI32" i="2"/>
  <c r="BI31" i="2" s="1"/>
  <c r="BC32" i="2"/>
  <c r="BC31" i="2" s="1"/>
  <c r="AW32" i="2"/>
  <c r="AW31" i="2" s="1"/>
  <c r="AQ32" i="2"/>
  <c r="AQ31" i="2" s="1"/>
  <c r="AK32" i="2"/>
  <c r="AK31" i="2" s="1"/>
  <c r="AE32" i="2"/>
  <c r="Y32" i="2"/>
  <c r="Y31" i="2" s="1"/>
  <c r="S32" i="2"/>
  <c r="M32" i="2"/>
  <c r="M31" i="2" s="1"/>
  <c r="G32" i="2"/>
  <c r="G31" i="2" s="1"/>
  <c r="CB31" i="2"/>
  <c r="BV31" i="2"/>
  <c r="BP31" i="2"/>
  <c r="BJ31" i="2"/>
  <c r="BD31" i="2"/>
  <c r="AX31" i="2"/>
  <c r="AR31" i="2"/>
  <c r="AL31" i="2"/>
  <c r="AF31" i="2"/>
  <c r="AE31" i="2"/>
  <c r="Z31" i="2"/>
  <c r="T31" i="2"/>
  <c r="S31" i="2"/>
  <c r="N31" i="2"/>
  <c r="H31" i="2"/>
  <c r="CA30" i="2"/>
  <c r="BU30" i="2"/>
  <c r="BO30" i="2"/>
  <c r="BI30" i="2"/>
  <c r="BC30" i="2"/>
  <c r="AW30" i="2"/>
  <c r="AQ30" i="2"/>
  <c r="AK30" i="2"/>
  <c r="AE30" i="2"/>
  <c r="Y30" i="2"/>
  <c r="S30" i="2"/>
  <c r="M30" i="2"/>
  <c r="G30" i="2"/>
  <c r="CA29" i="2"/>
  <c r="BU29" i="2"/>
  <c r="BO29" i="2"/>
  <c r="BI29" i="2"/>
  <c r="BC29" i="2"/>
  <c r="AW29" i="2"/>
  <c r="AQ29" i="2"/>
  <c r="AK29" i="2"/>
  <c r="AE29" i="2"/>
  <c r="Y29" i="2"/>
  <c r="S29" i="2"/>
  <c r="M29" i="2"/>
  <c r="G29" i="2"/>
  <c r="CA28" i="2"/>
  <c r="BU28" i="2"/>
  <c r="BO28" i="2"/>
  <c r="BI28" i="2"/>
  <c r="BC28" i="2"/>
  <c r="AW28" i="2"/>
  <c r="AQ28" i="2"/>
  <c r="AK28" i="2"/>
  <c r="AE28" i="2"/>
  <c r="Y28" i="2"/>
  <c r="S28" i="2"/>
  <c r="M28" i="2"/>
  <c r="G28" i="2"/>
  <c r="CA27" i="2"/>
  <c r="BU27" i="2"/>
  <c r="BO27" i="2"/>
  <c r="BI27" i="2"/>
  <c r="BC27" i="2"/>
  <c r="AW27" i="2"/>
  <c r="AQ27" i="2"/>
  <c r="AK27" i="2"/>
  <c r="AE27" i="2"/>
  <c r="Y27" i="2"/>
  <c r="S27" i="2"/>
  <c r="M27" i="2"/>
  <c r="G27" i="2"/>
  <c r="BW26" i="2"/>
  <c r="CA26" i="2" s="1"/>
  <c r="BQ26" i="2"/>
  <c r="BU26" i="2" s="1"/>
  <c r="BK26" i="2"/>
  <c r="BO26" i="2" s="1"/>
  <c r="BE26" i="2"/>
  <c r="BI26" i="2" s="1"/>
  <c r="AY26" i="2"/>
  <c r="BC26" i="2" s="1"/>
  <c r="AS26" i="2"/>
  <c r="AW26" i="2" s="1"/>
  <c r="K39" i="1" s="1"/>
  <c r="AM26" i="2"/>
  <c r="AQ26" i="2" s="1"/>
  <c r="AG26" i="2"/>
  <c r="AK26" i="2" s="1"/>
  <c r="AA26" i="2"/>
  <c r="AE26" i="2" s="1"/>
  <c r="U26" i="2"/>
  <c r="Y26" i="2" s="1"/>
  <c r="O26" i="2"/>
  <c r="S26" i="2" s="1"/>
  <c r="I26" i="2"/>
  <c r="M26" i="2" s="1"/>
  <c r="C26" i="2"/>
  <c r="G26" i="2" s="1"/>
  <c r="CA25" i="2"/>
  <c r="J44" i="1" s="1"/>
  <c r="BU25" i="2"/>
  <c r="J43" i="1" s="1"/>
  <c r="BO25" i="2"/>
  <c r="J42" i="1" s="1"/>
  <c r="BI25" i="2"/>
  <c r="J41" i="1" s="1"/>
  <c r="BC25" i="2"/>
  <c r="J40" i="1" s="1"/>
  <c r="AW25" i="2"/>
  <c r="J39" i="1" s="1"/>
  <c r="AQ25" i="2"/>
  <c r="J38" i="1" s="1"/>
  <c r="AK25" i="2"/>
  <c r="J37" i="1" s="1"/>
  <c r="AE25" i="2"/>
  <c r="Y25" i="2"/>
  <c r="S25" i="2"/>
  <c r="J32" i="1" s="1"/>
  <c r="M25" i="2"/>
  <c r="J29" i="1" s="1"/>
  <c r="G25" i="2"/>
  <c r="J28" i="1" s="1"/>
  <c r="CA24" i="2"/>
  <c r="BU24" i="2"/>
  <c r="BO24" i="2"/>
  <c r="BI24" i="2"/>
  <c r="BC24" i="2"/>
  <c r="AW24" i="2"/>
  <c r="AQ24" i="2"/>
  <c r="AK24" i="2"/>
  <c r="AE24" i="2"/>
  <c r="O24" i="2"/>
  <c r="S24" i="2" s="1"/>
  <c r="BZ23" i="2"/>
  <c r="BY23" i="2"/>
  <c r="BX23" i="2"/>
  <c r="BT23" i="2"/>
  <c r="BS23" i="2"/>
  <c r="BR23" i="2"/>
  <c r="BN23" i="2"/>
  <c r="BM23" i="2"/>
  <c r="BL23" i="2"/>
  <c r="BH23" i="2"/>
  <c r="BG23" i="2"/>
  <c r="BB23" i="2"/>
  <c r="BA23" i="2"/>
  <c r="AZ23" i="2"/>
  <c r="AV23" i="2"/>
  <c r="AU23" i="2"/>
  <c r="AT23" i="2"/>
  <c r="AP23" i="2"/>
  <c r="AO23" i="2"/>
  <c r="AJ23" i="2"/>
  <c r="AI23" i="2"/>
  <c r="AD23" i="2"/>
  <c r="AC23" i="2"/>
  <c r="X23" i="2"/>
  <c r="W23" i="2"/>
  <c r="V23" i="2"/>
  <c r="R23" i="2"/>
  <c r="Q23" i="2"/>
  <c r="P23" i="2"/>
  <c r="L23" i="2"/>
  <c r="K23" i="2"/>
  <c r="J23" i="2"/>
  <c r="F23" i="2"/>
  <c r="E23" i="2"/>
  <c r="D23" i="2"/>
  <c r="CA22" i="2"/>
  <c r="BU22" i="2"/>
  <c r="AE22" i="2"/>
  <c r="CA21" i="2"/>
  <c r="BU21" i="2"/>
  <c r="AE21" i="2"/>
  <c r="CA20" i="2"/>
  <c r="BU20" i="2"/>
  <c r="BO20" i="2"/>
  <c r="BI20" i="2"/>
  <c r="BC20" i="2"/>
  <c r="AW20" i="2"/>
  <c r="AQ20" i="2"/>
  <c r="CA19" i="2"/>
  <c r="BU19" i="2"/>
  <c r="BO19" i="2"/>
  <c r="BI19" i="2"/>
  <c r="BC19" i="2"/>
  <c r="AW19" i="2"/>
  <c r="AQ19" i="2"/>
  <c r="AK19" i="2"/>
  <c r="F37" i="1" s="1"/>
  <c r="AE19" i="2"/>
  <c r="F36" i="1" s="1"/>
  <c r="Y19" i="2"/>
  <c r="F35" i="1" s="1"/>
  <c r="S19" i="2"/>
  <c r="F32" i="1" s="1"/>
  <c r="M19" i="2"/>
  <c r="F29" i="1" s="1"/>
  <c r="G19" i="2"/>
  <c r="P18" i="2"/>
  <c r="P10" i="2" s="1"/>
  <c r="CA17" i="2"/>
  <c r="BU17" i="2"/>
  <c r="BO17" i="2"/>
  <c r="BI17" i="2"/>
  <c r="BC17" i="2"/>
  <c r="AW17" i="2"/>
  <c r="AQ17" i="2"/>
  <c r="CA16" i="2"/>
  <c r="BU16" i="2"/>
  <c r="BO16" i="2"/>
  <c r="BI16" i="2"/>
  <c r="BC16" i="2"/>
  <c r="AW16" i="2"/>
  <c r="AQ16" i="2"/>
  <c r="CA15" i="2"/>
  <c r="BU15" i="2"/>
  <c r="BO15" i="2"/>
  <c r="BI15" i="2"/>
  <c r="BC15" i="2"/>
  <c r="AW15" i="2"/>
  <c r="AQ15" i="2"/>
  <c r="CA14" i="2"/>
  <c r="BU14" i="2"/>
  <c r="BO14" i="2"/>
  <c r="BI14" i="2"/>
  <c r="BC14" i="2"/>
  <c r="AW14" i="2"/>
  <c r="AQ14" i="2"/>
  <c r="CA13" i="2"/>
  <c r="BU13" i="2"/>
  <c r="BO13" i="2"/>
  <c r="BI13" i="2"/>
  <c r="BC13" i="2"/>
  <c r="AW13" i="2"/>
  <c r="AQ13" i="2"/>
  <c r="CA12" i="2"/>
  <c r="BU12" i="2"/>
  <c r="BO12" i="2"/>
  <c r="BI12" i="2"/>
  <c r="BA12" i="2"/>
  <c r="BC12" i="2" s="1"/>
  <c r="AU12" i="2"/>
  <c r="AW12" i="2" s="1"/>
  <c r="AQ12" i="2"/>
  <c r="AI12" i="2"/>
  <c r="AI10" i="2" s="1"/>
  <c r="W12" i="2"/>
  <c r="W10" i="2" s="1"/>
  <c r="CA11" i="2"/>
  <c r="BU11" i="2"/>
  <c r="BO11" i="2"/>
  <c r="BI11" i="2"/>
  <c r="BC11" i="2"/>
  <c r="AW11" i="2"/>
  <c r="AQ11" i="2"/>
  <c r="BZ10" i="2"/>
  <c r="BY10" i="2"/>
  <c r="BX10" i="2"/>
  <c r="BT10" i="2"/>
  <c r="BS10" i="2"/>
  <c r="BR10" i="2"/>
  <c r="BN10" i="2"/>
  <c r="BM10" i="2"/>
  <c r="BL10" i="2"/>
  <c r="BH10" i="2"/>
  <c r="BG10" i="2"/>
  <c r="BF10" i="2"/>
  <c r="BB10" i="2"/>
  <c r="AZ10" i="2"/>
  <c r="AV10" i="2"/>
  <c r="AT10" i="2"/>
  <c r="AP10" i="2"/>
  <c r="AO10" i="2"/>
  <c r="AN10" i="2"/>
  <c r="AJ10" i="2"/>
  <c r="AH10" i="2"/>
  <c r="AD10" i="2"/>
  <c r="AC10" i="2"/>
  <c r="AB10" i="2"/>
  <c r="X10" i="2"/>
  <c r="V10" i="2"/>
  <c r="R10" i="2"/>
  <c r="Q10" i="2"/>
  <c r="L10" i="2"/>
  <c r="K10" i="2"/>
  <c r="J10" i="2"/>
  <c r="J20" i="2" s="1"/>
  <c r="M20" i="2" s="1"/>
  <c r="F10" i="2"/>
  <c r="E10" i="2"/>
  <c r="D10" i="2"/>
  <c r="D20" i="2" s="1"/>
  <c r="G20" i="2" s="1"/>
  <c r="I28" i="1" s="1"/>
  <c r="Y8" i="2"/>
  <c r="CB6" i="2"/>
  <c r="CA6" i="2"/>
  <c r="BV6" i="2"/>
  <c r="BU6" i="2"/>
  <c r="BP6" i="2"/>
  <c r="BO6" i="2"/>
  <c r="BJ6" i="2"/>
  <c r="BI6" i="2"/>
  <c r="BD6" i="2"/>
  <c r="BC6" i="2"/>
  <c r="AX6" i="2"/>
  <c r="AW6" i="2"/>
  <c r="AR6" i="2"/>
  <c r="AQ6" i="2"/>
  <c r="AL6" i="2"/>
  <c r="AK6" i="2"/>
  <c r="AF6" i="2"/>
  <c r="AE6" i="2"/>
  <c r="Z6" i="2"/>
  <c r="T6" i="2"/>
  <c r="S6" i="2"/>
  <c r="N6" i="2"/>
  <c r="M6" i="2"/>
  <c r="H6" i="2"/>
  <c r="G6" i="2"/>
  <c r="T10" i="2" l="1"/>
  <c r="T20" i="2" s="1"/>
  <c r="Q15" i="1"/>
  <c r="CM14" i="3"/>
  <c r="AW23" i="2"/>
  <c r="AK10" i="3"/>
  <c r="F61" i="1" s="1"/>
  <c r="AQ20" i="3"/>
  <c r="K56" i="1"/>
  <c r="K59" i="1"/>
  <c r="T30" i="1"/>
  <c r="T106" i="1"/>
  <c r="CB10" i="3"/>
  <c r="K63" i="1"/>
  <c r="K64" i="1"/>
  <c r="T79" i="1"/>
  <c r="T97" i="1"/>
  <c r="AL10" i="3"/>
  <c r="AE20" i="3"/>
  <c r="K68" i="1"/>
  <c r="BP10" i="2"/>
  <c r="K35" i="1"/>
  <c r="Y10" i="1"/>
  <c r="M21" i="1"/>
  <c r="N21" i="1" s="1"/>
  <c r="T103" i="1"/>
  <c r="CG20" i="3"/>
  <c r="K67" i="1"/>
  <c r="BC20" i="3"/>
  <c r="K38" i="1"/>
  <c r="Q24" i="1"/>
  <c r="K69" i="1"/>
  <c r="K37" i="1"/>
  <c r="M17" i="1"/>
  <c r="N17" i="1" s="1"/>
  <c r="T17" i="1" s="1"/>
  <c r="J64" i="1"/>
  <c r="Q76" i="1"/>
  <c r="T76" i="1" s="1"/>
  <c r="U85" i="1" s="1"/>
  <c r="M10" i="3"/>
  <c r="BI10" i="3"/>
  <c r="BO10" i="3"/>
  <c r="F66" i="1" s="1"/>
  <c r="AE10" i="3"/>
  <c r="F60" i="1" s="1"/>
  <c r="N60" i="1" s="1"/>
  <c r="T60" i="1" s="1"/>
  <c r="CA10" i="3"/>
  <c r="F68" i="1" s="1"/>
  <c r="BI20" i="3"/>
  <c r="BI32" i="3" s="1"/>
  <c r="T102" i="1"/>
  <c r="S10" i="2"/>
  <c r="T15" i="1"/>
  <c r="T88" i="1"/>
  <c r="T90" i="1"/>
  <c r="T92" i="1"/>
  <c r="T94" i="1"/>
  <c r="T99" i="1"/>
  <c r="T105" i="1"/>
  <c r="T10" i="3"/>
  <c r="BU10" i="3"/>
  <c r="F67" i="1" s="1"/>
  <c r="N67" i="1" s="1"/>
  <c r="T67" i="1" s="1"/>
  <c r="N68" i="1"/>
  <c r="T68" i="1" s="1"/>
  <c r="R117" i="1"/>
  <c r="T77" i="1"/>
  <c r="N10" i="3"/>
  <c r="AF10" i="3"/>
  <c r="AW20" i="3"/>
  <c r="G20" i="3"/>
  <c r="K62" i="1"/>
  <c r="Y23" i="2"/>
  <c r="AL10" i="2"/>
  <c r="AL20" i="2" s="1"/>
  <c r="AK20" i="2" s="1"/>
  <c r="BA10" i="2"/>
  <c r="BD10" i="2" s="1"/>
  <c r="BV10" i="2"/>
  <c r="AW10" i="2"/>
  <c r="F39" i="1" s="1"/>
  <c r="N39" i="1" s="1"/>
  <c r="T39" i="1" s="1"/>
  <c r="Y13" i="1"/>
  <c r="T96" i="1"/>
  <c r="T101" i="1"/>
  <c r="AO10" i="3"/>
  <c r="AR10" i="3" s="1"/>
  <c r="BJ10" i="3"/>
  <c r="BC23" i="2"/>
  <c r="H10" i="2"/>
  <c r="H20" i="2" s="1"/>
  <c r="Z10" i="2"/>
  <c r="Z20" i="2" s="1"/>
  <c r="Y20" i="2" s="1"/>
  <c r="I35" i="1" s="1"/>
  <c r="BI10" i="2"/>
  <c r="F41" i="1" s="1"/>
  <c r="BC10" i="2"/>
  <c r="F40" i="1" s="1"/>
  <c r="K41" i="1"/>
  <c r="CG10" i="3"/>
  <c r="F69" i="1" s="1"/>
  <c r="AQ10" i="3"/>
  <c r="F62" i="1" s="1"/>
  <c r="CM10" i="3"/>
  <c r="F70" i="1" s="1"/>
  <c r="Y10" i="3"/>
  <c r="F59" i="1" s="1"/>
  <c r="N59" i="1" s="1"/>
  <c r="T59" i="1" s="1"/>
  <c r="CA20" i="3"/>
  <c r="CA32" i="3" s="1"/>
  <c r="K58" i="1"/>
  <c r="BO10" i="2"/>
  <c r="F42" i="1" s="1"/>
  <c r="BI23" i="2"/>
  <c r="T83" i="1"/>
  <c r="N87" i="1"/>
  <c r="T87" i="1" s="1"/>
  <c r="U109" i="1" s="1"/>
  <c r="BP10" i="3"/>
  <c r="S20" i="3"/>
  <c r="BU20" i="3"/>
  <c r="BC36" i="2"/>
  <c r="CB10" i="2"/>
  <c r="M23" i="2"/>
  <c r="K42" i="1"/>
  <c r="T12" i="1"/>
  <c r="Y12" i="1" s="1"/>
  <c r="T33" i="1"/>
  <c r="BU32" i="3"/>
  <c r="G10" i="3"/>
  <c r="F56" i="1" s="1"/>
  <c r="AX10" i="3"/>
  <c r="Y20" i="3"/>
  <c r="K70" i="1"/>
  <c r="AQ10" i="2"/>
  <c r="F38" i="1" s="1"/>
  <c r="AK23" i="2"/>
  <c r="N10" i="2"/>
  <c r="N20" i="2" s="1"/>
  <c r="AF10" i="2"/>
  <c r="AF20" i="2" s="1"/>
  <c r="AE20" i="2" s="1"/>
  <c r="I36" i="1" s="1"/>
  <c r="BJ10" i="2"/>
  <c r="CA10" i="2"/>
  <c r="F44" i="1" s="1"/>
  <c r="BU10" i="2"/>
  <c r="F43" i="1" s="1"/>
  <c r="AQ23" i="2"/>
  <c r="K43" i="1"/>
  <c r="Q21" i="1"/>
  <c r="T21" i="1" s="1"/>
  <c r="Y46" i="1"/>
  <c r="Z10" i="3"/>
  <c r="BC10" i="3"/>
  <c r="F64" i="1" s="1"/>
  <c r="AE32" i="3"/>
  <c r="H10" i="3"/>
  <c r="BV10" i="3"/>
  <c r="CH10" i="3"/>
  <c r="S10" i="3"/>
  <c r="F58" i="1" s="1"/>
  <c r="N58" i="1" s="1"/>
  <c r="CM20" i="3"/>
  <c r="AK10" i="2"/>
  <c r="AK36" i="2" s="1"/>
  <c r="I37" i="1"/>
  <c r="N37" i="1" s="1"/>
  <c r="T37" i="1" s="1"/>
  <c r="K61" i="1"/>
  <c r="N61" i="1" s="1"/>
  <c r="AK20" i="3"/>
  <c r="AK30" i="3" s="1"/>
  <c r="CG30" i="3"/>
  <c r="Q11" i="1"/>
  <c r="Q117" i="1" s="1"/>
  <c r="N11" i="1"/>
  <c r="M20" i="3"/>
  <c r="M30" i="3" s="1"/>
  <c r="K57" i="1"/>
  <c r="I29" i="1"/>
  <c r="M10" i="2"/>
  <c r="M36" i="2" s="1"/>
  <c r="CA23" i="2"/>
  <c r="K44" i="1"/>
  <c r="N32" i="1"/>
  <c r="T32" i="1" s="1"/>
  <c r="AR10" i="2"/>
  <c r="K40" i="1"/>
  <c r="N40" i="1" s="1"/>
  <c r="T40" i="1" s="1"/>
  <c r="M117" i="1"/>
  <c r="N9" i="1"/>
  <c r="K36" i="1"/>
  <c r="AE23" i="2"/>
  <c r="T24" i="1"/>
  <c r="N42" i="1"/>
  <c r="T42" i="1" s="1"/>
  <c r="G10" i="2"/>
  <c r="F28" i="1"/>
  <c r="N28" i="1" s="1"/>
  <c r="T28" i="1" s="1"/>
  <c r="S23" i="2"/>
  <c r="S36" i="2" s="1"/>
  <c r="BU23" i="2"/>
  <c r="K28" i="1"/>
  <c r="G23" i="2"/>
  <c r="Y6" i="2"/>
  <c r="H35" i="1"/>
  <c r="N22" i="1"/>
  <c r="T22" i="1" s="1"/>
  <c r="K22" i="1"/>
  <c r="F57" i="1"/>
  <c r="F65" i="1"/>
  <c r="N65" i="1" s="1"/>
  <c r="T65" i="1" s="1"/>
  <c r="K66" i="1"/>
  <c r="N66" i="1" s="1"/>
  <c r="T66" i="1" s="1"/>
  <c r="BO20" i="3"/>
  <c r="BO32" i="3" s="1"/>
  <c r="K29" i="1"/>
  <c r="BA10" i="3"/>
  <c r="BD10" i="3" s="1"/>
  <c r="J35" i="1"/>
  <c r="AW12" i="3"/>
  <c r="AW10" i="3" s="1"/>
  <c r="AU10" i="2"/>
  <c r="AX10" i="2" s="1"/>
  <c r="F117" i="1"/>
  <c r="BO23" i="2"/>
  <c r="BO36" i="2" s="1"/>
  <c r="N43" i="1" l="1"/>
  <c r="T43" i="1" s="1"/>
  <c r="Y32" i="3"/>
  <c r="AW36" i="2"/>
  <c r="N64" i="1"/>
  <c r="T64" i="1" s="1"/>
  <c r="N56" i="1"/>
  <c r="N57" i="1"/>
  <c r="T57" i="1" s="1"/>
  <c r="N44" i="1"/>
  <c r="N38" i="1"/>
  <c r="T38" i="1" s="1"/>
  <c r="N70" i="1"/>
  <c r="BU36" i="2"/>
  <c r="N69" i="1"/>
  <c r="G36" i="2"/>
  <c r="N41" i="1"/>
  <c r="T41" i="1" s="1"/>
  <c r="G30" i="3"/>
  <c r="G28" i="3" s="1"/>
  <c r="G32" i="3" s="1"/>
  <c r="S56" i="1"/>
  <c r="T56" i="1" s="1"/>
  <c r="CA34" i="2"/>
  <c r="S44" i="1" s="1"/>
  <c r="S117" i="1" s="1"/>
  <c r="AQ36" i="2"/>
  <c r="N62" i="1"/>
  <c r="T62" i="1" s="1"/>
  <c r="N36" i="1"/>
  <c r="T36" i="1" s="1"/>
  <c r="CM30" i="3"/>
  <c r="N29" i="1"/>
  <c r="T29" i="1" s="1"/>
  <c r="U45" i="1" s="1"/>
  <c r="S30" i="3"/>
  <c r="BI36" i="2"/>
  <c r="AQ32" i="3"/>
  <c r="BC32" i="3"/>
  <c r="N35" i="1"/>
  <c r="T35" i="1" s="1"/>
  <c r="Y10" i="2"/>
  <c r="Y36" i="2" s="1"/>
  <c r="AE10" i="2"/>
  <c r="AE36" i="2" s="1"/>
  <c r="S57" i="1"/>
  <c r="M28" i="3"/>
  <c r="M32" i="3" s="1"/>
  <c r="F63" i="1"/>
  <c r="N63" i="1" s="1"/>
  <c r="AW30" i="3"/>
  <c r="H117" i="1"/>
  <c r="S69" i="1"/>
  <c r="T69" i="1" s="1"/>
  <c r="CG28" i="3"/>
  <c r="CG32" i="3" s="1"/>
  <c r="N117" i="1"/>
  <c r="T9" i="1"/>
  <c r="AK28" i="3"/>
  <c r="AK32" i="3" s="1"/>
  <c r="S61" i="1"/>
  <c r="T61" i="1" s="1"/>
  <c r="T11" i="1"/>
  <c r="S28" i="3" l="1"/>
  <c r="S32" i="3" s="1"/>
  <c r="S58" i="1"/>
  <c r="T58" i="1" s="1"/>
  <c r="CA31" i="2"/>
  <c r="CA36" i="2" s="1"/>
  <c r="D38" i="2" s="1"/>
  <c r="CM28" i="3"/>
  <c r="CM32" i="3" s="1"/>
  <c r="S70" i="1"/>
  <c r="T70" i="1" s="1"/>
  <c r="D34" i="3"/>
  <c r="U26" i="1"/>
  <c r="Y9" i="1"/>
  <c r="T117" i="1"/>
  <c r="S63" i="1"/>
  <c r="T63" i="1" s="1"/>
  <c r="AW28" i="3"/>
  <c r="AW32" i="3" s="1"/>
  <c r="T44" i="1"/>
  <c r="U74" i="1" l="1"/>
  <c r="V117" i="1" s="1"/>
  <c r="U1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ASUS PRO</author>
  </authors>
  <commentList>
    <comment ref="G18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 xml:space="preserve">VƯỜN RAU +  BV CHẤM CÔNG 500K
</t>
        </r>
      </text>
    </comment>
    <comment ref="K22" authorId="1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 xml:space="preserve">hỗ trợ 1 ngày cô vân nghỉ hưởng 30% 
</t>
        </r>
      </text>
    </comment>
    <comment ref="G30" authorId="1" shapeId="0" xr:uid="{00000000-0006-0000-0000-000003000000}">
      <text>
        <r>
          <rPr>
            <sz val="11"/>
            <color theme="1"/>
            <rFont val="Arial"/>
            <family val="2"/>
            <scheme val="minor"/>
          </rPr>
          <t xml:space="preserve">
QL Bán trú 1000k
Môi trường: 500k
XD văn hóa DN: 500k
duy trì sĩ số: 500k
 trang zalo, fb 1000k
KPI 3000k</t>
        </r>
      </text>
    </comment>
    <comment ref="G31" authorId="1" shapeId="0" xr:uid="{00000000-0006-0000-0000-000004000000}">
      <text>
        <r>
          <rPr>
            <sz val="11"/>
            <color theme="1"/>
            <rFont val="Arial"/>
            <family val="2"/>
            <scheme val="minor"/>
          </rPr>
          <t>hỗ trợ  qs, quản học tối 4tr
trang zalo, fb 500k
 dv ăn uống:  500k
 công đoàn 1tr
 KPI 2tr
duy trì sỉ số 500k</t>
        </r>
      </text>
    </comment>
    <comment ref="K33" authorId="1" shapeId="0" xr:uid="{00000000-0006-0000-0000-000005000000}">
      <text>
        <r>
          <rPr>
            <sz val="11"/>
            <color theme="1"/>
            <rFont val="Arial"/>
            <family val="2"/>
            <scheme val="minor"/>
          </rPr>
          <t xml:space="preserve"> hỗ trợ 30% lương khi Cô hát nghỉ
</t>
        </r>
      </text>
    </comment>
    <comment ref="G35" authorId="1" shapeId="0" xr:uid="{00000000-0006-0000-0000-000006000000}">
      <text>
        <r>
          <rPr>
            <sz val="11"/>
            <color theme="1"/>
            <rFont val="Arial"/>
            <family val="2"/>
            <scheme val="minor"/>
          </rPr>
          <t>HỖ TRỢ VIẾT BÀI QUẢNG CÁO</t>
        </r>
      </text>
    </comment>
    <comment ref="H35" authorId="0" shapeId="0" xr:uid="{00000000-0006-0000-0000-000007000000}">
      <text>
        <r>
          <rPr>
            <sz val="11"/>
            <color theme="1"/>
            <rFont val="Arial"/>
            <family val="2"/>
            <scheme val="minor"/>
          </rPr>
          <t xml:space="preserve">CHỦ NHIỆM 6,7,8,9
</t>
        </r>
      </text>
    </comment>
    <comment ref="G37" authorId="0" shapeId="0" xr:uid="{00000000-0006-0000-0000-000008000000}">
      <text>
        <r>
          <rPr>
            <sz val="11"/>
            <color theme="1"/>
            <rFont val="Arial"/>
            <family val="2"/>
            <scheme val="minor"/>
          </rPr>
          <t>phó bí thư đoàn</t>
        </r>
      </text>
    </comment>
    <comment ref="P87" authorId="0" shapeId="0" xr:uid="{00000000-0006-0000-0000-000009000000}">
      <text>
        <r>
          <rPr>
            <sz val="11"/>
            <color theme="1"/>
            <rFont val="Arial"/>
            <family val="2"/>
            <scheme val="minor"/>
          </rPr>
          <t xml:space="preserve">nghỉ tết
</t>
        </r>
      </text>
    </comment>
    <comment ref="S87" authorId="0" shapeId="0" xr:uid="{00000000-0006-0000-0000-00000A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88" authorId="0" shapeId="0" xr:uid="{00000000-0006-0000-0000-00000B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89" authorId="0" shapeId="0" xr:uid="{00000000-0006-0000-0000-00000C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0" authorId="0" shapeId="0" xr:uid="{00000000-0006-0000-0000-00000D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1" authorId="0" shapeId="0" xr:uid="{00000000-0006-0000-0000-00000E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2" authorId="0" shapeId="0" xr:uid="{00000000-0006-0000-0000-00000F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3" authorId="0" shapeId="0" xr:uid="{00000000-0006-0000-0000-000010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4" authorId="0" shapeId="0" xr:uid="{00000000-0006-0000-0000-000011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5" authorId="0" shapeId="0" xr:uid="{00000000-0006-0000-0000-000012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6" authorId="0" shapeId="0" xr:uid="{00000000-0006-0000-0000-000013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7" authorId="0" shapeId="0" xr:uid="{00000000-0006-0000-0000-000014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8" authorId="0" shapeId="0" xr:uid="{00000000-0006-0000-0000-000015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99" authorId="0" shapeId="0" xr:uid="{00000000-0006-0000-0000-000016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0" authorId="0" shapeId="0" xr:uid="{00000000-0006-0000-0000-000017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1" authorId="0" shapeId="0" xr:uid="{00000000-0006-0000-0000-000018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2" authorId="0" shapeId="0" xr:uid="{00000000-0006-0000-0000-000019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3" authorId="0" shapeId="0" xr:uid="{00000000-0006-0000-0000-00001A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4" authorId="0" shapeId="0" xr:uid="{00000000-0006-0000-0000-00001B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5" authorId="0" shapeId="0" xr:uid="{00000000-0006-0000-0000-00001C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6" authorId="0" shapeId="0" xr:uid="{00000000-0006-0000-0000-00001D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S107" authorId="0" shapeId="0" xr:uid="{00000000-0006-0000-0000-00001E000000}">
      <text>
        <r>
          <rPr>
            <sz val="11"/>
            <color theme="1"/>
            <rFont val="Arial"/>
            <family val="2"/>
            <scheme val="minor"/>
          </rPr>
          <t xml:space="preserve">chưa phản hồi thu nhập bao nhiêu nơi, trừ trước 10% luôn
</t>
        </r>
      </text>
    </comment>
    <comment ref="P111" authorId="0" shapeId="0" xr:uid="{00000000-0006-0000-0000-00001F000000}">
      <text>
        <r>
          <rPr>
            <sz val="11"/>
            <color theme="1"/>
            <rFont val="Arial"/>
            <family val="2"/>
            <scheme val="minor"/>
          </rPr>
          <t xml:space="preserve">nghỉ tết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D15" authorId="0" shapeId="0" xr:uid="{00000000-0006-0000-0100-000001000000}">
      <text>
        <r>
          <rPr>
            <sz val="11"/>
            <color theme="1"/>
            <rFont val="Arial"/>
            <family val="2"/>
            <scheme val="minor"/>
          </rPr>
          <t xml:space="preserve"> 9 bạn
</t>
        </r>
      </text>
    </comment>
    <comment ref="G20" authorId="0" shapeId="0" xr:uid="{00000000-0006-0000-0100-000002000000}">
      <text>
        <r>
          <rPr>
            <sz val="11"/>
            <color theme="1"/>
            <rFont val="Arial"/>
            <family val="2"/>
            <scheme val="minor"/>
          </rPr>
          <t xml:space="preserve">dư tiết trả tiền tiết dư
 thiếu tiền thì thôi
</t>
        </r>
      </text>
    </comment>
    <comment ref="M20" authorId="0" shapeId="0" xr:uid="{00000000-0006-0000-0100-000003000000}">
      <text>
        <r>
          <rPr>
            <sz val="11"/>
            <color theme="1"/>
            <rFont val="Arial"/>
            <family val="2"/>
            <scheme val="minor"/>
          </rPr>
          <t xml:space="preserve">dư tiết trả tiền tiết dư
 thiếu tiền thì thôi
</t>
        </r>
      </text>
    </comment>
    <comment ref="S20" authorId="0" shapeId="0" xr:uid="{00000000-0006-0000-0100-000004000000}">
      <text>
        <r>
          <rPr>
            <sz val="11"/>
            <color theme="1"/>
            <rFont val="Arial"/>
            <family val="2"/>
            <scheme val="minor"/>
          </rPr>
          <t xml:space="preserve">
dư tiết trả tiền tiết dư
 thiếu tiền thì thôi
</t>
        </r>
      </text>
    </comment>
    <comment ref="Y20" authorId="0" shapeId="0" xr:uid="{00000000-0006-0000-0100-000005000000}">
      <text>
        <r>
          <rPr>
            <sz val="11"/>
            <color theme="1"/>
            <rFont val="Arial"/>
            <family val="2"/>
            <scheme val="minor"/>
          </rPr>
          <t xml:space="preserve">dư tiết trả tiền tiết dư
 thiếu tiền thì thôi
</t>
        </r>
      </text>
    </comment>
    <comment ref="AE20" authorId="0" shapeId="0" xr:uid="{00000000-0006-0000-0100-000006000000}">
      <text>
        <r>
          <rPr>
            <sz val="11"/>
            <color theme="1"/>
            <rFont val="Arial"/>
            <family val="2"/>
            <scheme val="minor"/>
          </rPr>
          <t xml:space="preserve">dư tiết trả tiền tiết dư
 thiếu tiền thì thôi
</t>
        </r>
      </text>
    </comment>
    <comment ref="AK20" authorId="0" shapeId="0" xr:uid="{00000000-0006-0000-0100-000007000000}">
      <text>
        <r>
          <rPr>
            <sz val="11"/>
            <color theme="1"/>
            <rFont val="Arial"/>
            <family val="2"/>
            <scheme val="minor"/>
          </rPr>
          <t xml:space="preserve">dư tiết trả tiền tiết dư
 thiếu tiền thì thôi
</t>
        </r>
      </text>
    </comment>
    <comment ref="O24" authorId="0" shapeId="0" xr:uid="{00000000-0006-0000-0100-000008000000}">
      <text>
        <r>
          <rPr>
            <sz val="11"/>
            <color theme="1"/>
            <rFont val="Arial"/>
            <family val="2"/>
            <scheme val="minor"/>
          </rPr>
          <t xml:space="preserve">5TR CSVC / 26 NGÀY
</t>
        </r>
      </text>
    </comment>
    <comment ref="BC30" authorId="0" shapeId="0" xr:uid="{00000000-0006-0000-0100-000009000000}">
      <text>
        <r>
          <rPr>
            <sz val="11"/>
            <color theme="1"/>
            <rFont val="Arial"/>
            <family val="2"/>
            <scheme val="minor"/>
          </rPr>
          <t xml:space="preserve">17 tiết trợ giảng  * 40k
</t>
        </r>
      </text>
    </comment>
  </commentList>
</comments>
</file>

<file path=xl/sharedStrings.xml><?xml version="1.0" encoding="utf-8"?>
<sst xmlns="http://schemas.openxmlformats.org/spreadsheetml/2006/main" count="818" uniqueCount="463">
  <si>
    <t>STT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</si>
  <si>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</si>
  <si>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</si>
  <si>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</si>
  <si>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</si>
  <si>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</si>
  <si>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</si>
  <si>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</si>
  <si>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</si>
  <si>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</si>
  <si>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</si>
  <si>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</si>
  <si>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</si>
  <si>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</si>
  <si>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TÊN NHÂN VIÊN</t>
  </si>
  <si>
    <t>SƠN THỊ THANH HỒNG</t>
  </si>
  <si>
    <t>NGUYỄN HOÀNG MINH</t>
  </si>
  <si>
    <t>NGUYỄN THÁI HIỂN</t>
  </si>
  <si>
    <t>MẠCH TÔ NGỌC HÂN</t>
  </si>
  <si>
    <t>NGUYỄN MINH KHOA</t>
  </si>
  <si>
    <t>TRẦN HOÀNG KHIẾM</t>
  </si>
  <si>
    <t>TRẦN THỊ KIM ANH</t>
  </si>
  <si>
    <t>LÊ THỊ THÙY TRANG</t>
  </si>
  <si>
    <t>LÊ KIM OANH</t>
  </si>
  <si>
    <t>PHẠM ĐA HIỀN THƯ</t>
  </si>
  <si>
    <t>NGUYỄN MINH ĐỨC</t>
  </si>
  <si>
    <t>NGUYỄN THỊ BÉ CHÍNH</t>
  </si>
  <si>
    <t>CHỨC VỤ</t>
  </si>
  <si>
    <t>PHÓ HIỆU TRƯỞNG</t>
  </si>
  <si>
    <t>QUẢN SINH - GV LÝ</t>
  </si>
  <si>
    <t>CSVC -QV THỂ DỤC</t>
  </si>
  <si>
    <t>GV VĂN</t>
  </si>
  <si>
    <t>BÍ THƯ ĐOÀN - GV VĂN</t>
  </si>
  <si>
    <t>PHÓ BÍ THƯ ĐOÀN - GV ĐỊA</t>
  </si>
  <si>
    <t>GV TOÁN</t>
  </si>
  <si>
    <t>GV AV</t>
  </si>
  <si>
    <t>GV -LÝ</t>
  </si>
  <si>
    <t>ĐG</t>
  </si>
  <si>
    <t>SL THPT</t>
  </si>
  <si>
    <t>SL NKCT</t>
  </si>
  <si>
    <t>SL BDVH</t>
  </si>
  <si>
    <t>TIỀN</t>
  </si>
  <si>
    <t>GHI CHÚ</t>
  </si>
  <si>
    <t>LƯƠNG CHỨC VỤ, KIÊM NHIỆM</t>
  </si>
  <si>
    <t>1.1</t>
  </si>
  <si>
    <t xml:space="preserve">Lương chức vụ </t>
  </si>
  <si>
    <t>viết bài QC</t>
  </si>
  <si>
    <t>bí thư đoàn</t>
  </si>
  <si>
    <t>phó bí thư đoàn</t>
  </si>
  <si>
    <t>tổ trường AV</t>
  </si>
  <si>
    <t>tổ trưởng toán</t>
  </si>
  <si>
    <t>1.2</t>
  </si>
  <si>
    <t>Kiêm nhiệm GVCN</t>
  </si>
  <si>
    <t>THPT L11</t>
  </si>
  <si>
    <t>THPT L12</t>
  </si>
  <si>
    <t>THPT L8,9
NKCT 9A1</t>
  </si>
  <si>
    <t>THPT L10</t>
  </si>
  <si>
    <t>NKCT  7A2</t>
  </si>
  <si>
    <t>THPT L6,7</t>
  </si>
  <si>
    <t>NKCT 9A2</t>
  </si>
  <si>
    <t>NKCT L12</t>
  </si>
  <si>
    <t>1.3</t>
  </si>
  <si>
    <t>Kiêm nhiệm khác</t>
  </si>
  <si>
    <t xml:space="preserve"> hỗ trợ giám thị</t>
  </si>
  <si>
    <t>LƯƠNG TIẾT DẠY - TRƯỜNG THPT</t>
  </si>
  <si>
    <t>2.1</t>
  </si>
  <si>
    <t xml:space="preserve">Tiểu học ( lớp 1,2,3,4,5):   </t>
  </si>
  <si>
    <t>Từ T3/26
  tiết cơ hữu là 30 tiết</t>
  </si>
  <si>
    <t>Tiết cơ hữu  là 48 tiết</t>
  </si>
  <si>
    <t>Từ T3/26
  tiết cơ hữu là 48 tiết</t>
  </si>
  <si>
    <t>CƠ HỮU
DẠY NHIÊU TÍNH NHIÊU</t>
  </si>
  <si>
    <t>CƠ HỮU
 -đảm bảo  lương 4,8tr/tháng
  (các nơi AVM cộng lại)</t>
  </si>
  <si>
    <t>Thỉnh giảng
 nhờ Trường đóng BHXH dùm</t>
  </si>
  <si>
    <t>2.2</t>
  </si>
  <si>
    <t xml:space="preserve">THCS (lớp 6,7,8):  </t>
  </si>
  <si>
    <t>2.3</t>
  </si>
  <si>
    <t xml:space="preserve">THCS (lớp 9):     </t>
  </si>
  <si>
    <t>2.4</t>
  </si>
  <si>
    <t xml:space="preserve">THPT (lớp 10,11):      </t>
  </si>
  <si>
    <t>2.5</t>
  </si>
  <si>
    <t xml:space="preserve">THPT (lớp 12): </t>
  </si>
  <si>
    <t>2.6</t>
  </si>
  <si>
    <t>Hoạt động ngoại khóa</t>
  </si>
  <si>
    <t>2.7</t>
  </si>
  <si>
    <t>Quản học (70% lương của tiết học)</t>
  </si>
  <si>
    <t>2.8</t>
  </si>
  <si>
    <t>Quy đổi ngày công sang tiết (nửa ngày/2 tiết|)</t>
  </si>
  <si>
    <t>đổi 3.5 ngày</t>
  </si>
  <si>
    <t>2.9</t>
  </si>
  <si>
    <t>Lương dạy ( đủ đk nhận lương cơ hữu)</t>
  </si>
  <si>
    <t>2.10</t>
  </si>
  <si>
    <t xml:space="preserve">Số tiết dư được tạm ứng </t>
  </si>
  <si>
    <t>Bồi dưỡng  văn hóa</t>
  </si>
  <si>
    <t>lớp 9</t>
  </si>
  <si>
    <t>lớp 11 (6hs)</t>
  </si>
  <si>
    <t>lớp 8 ( 6hs)</t>
  </si>
  <si>
    <t>lớp 12</t>
  </si>
  <si>
    <t>lớp 12 (11hs)</t>
  </si>
  <si>
    <t>lớp 12 (5hs)</t>
  </si>
  <si>
    <t>THU NHẬP TĂNG THÊM</t>
  </si>
  <si>
    <t>3.1</t>
  </si>
  <si>
    <t>Tăng ca làm thêm công</t>
  </si>
  <si>
    <t>3.2</t>
  </si>
  <si>
    <t xml:space="preserve">Họp hội đồng sư phạm </t>
  </si>
  <si>
    <t xml:space="preserve"> ko</t>
  </si>
  <si>
    <t>3.3</t>
  </si>
  <si>
    <t>Gác thi  (70%/LCB tiết dạy) ( hỏi lại)</t>
  </si>
  <si>
    <t>3.4</t>
  </si>
  <si>
    <t>Chấm bài tự luận :</t>
  </si>
  <si>
    <t>3.5</t>
  </si>
  <si>
    <t xml:space="preserve">Chấm bài trắc nghiệm:  </t>
  </si>
  <si>
    <t>3.6</t>
  </si>
  <si>
    <t xml:space="preserve">Giáo viên ra đề thi.  </t>
  </si>
  <si>
    <t>3.7</t>
  </si>
  <si>
    <t>khác</t>
  </si>
  <si>
    <t xml:space="preserve"> trợ giảng
 40k/t</t>
  </si>
  <si>
    <t>GIẢM TRỪ</t>
  </si>
  <si>
    <t>4.1</t>
  </si>
  <si>
    <t>Trừ BHXH 10,5%   (5,1tr/t)</t>
  </si>
  <si>
    <t>32%  nhờ
 đóng BHXH</t>
  </si>
  <si>
    <t>4.2</t>
  </si>
  <si>
    <t>Trừ ngày công (do nghỉ phép)</t>
  </si>
  <si>
    <t>4.3</t>
  </si>
  <si>
    <t>Trừ  TNCN</t>
  </si>
  <si>
    <t>2 nơi thu 10% không vượt 15,5</t>
  </si>
  <si>
    <t>2 nơi trừ 10%</t>
  </si>
  <si>
    <t>4.4</t>
  </si>
  <si>
    <t>Trừ khác</t>
  </si>
  <si>
    <t xml:space="preserve"> TỔNG THU NHẬP</t>
  </si>
  <si>
    <t>TỔNG LƯƠNG CẦN CHI</t>
  </si>
  <si>
    <t>375053591</t>
  </si>
  <si>
    <t>833333647</t>
  </si>
  <si>
    <t>907490651</t>
  </si>
  <si>
    <t>984239687</t>
  </si>
  <si>
    <t>948756448</t>
  </si>
  <si>
    <t>915054235</t>
  </si>
  <si>
    <t>939364073</t>
  </si>
  <si>
    <t>985336577</t>
  </si>
  <si>
    <t>932927632</t>
  </si>
  <si>
    <t>919161717</t>
  </si>
  <si>
    <t>917394401</t>
  </si>
  <si>
    <t>387049143</t>
  </si>
  <si>
    <t>917922968</t>
  </si>
  <si>
    <t xml:space="preserve">TRƯỜNG TH -THCS- THPT ÂU VIỆT MỸ
NỘI TRÚ - BÁN TRÚ - CHƯƠNG TRÌNH SONG NGỮ
</t>
  </si>
  <si>
    <t xml:space="preserve">                                   EUROPEAN - VIETNAMESE - AMERICAN
                             PRIMARY - SECONDARY &amp; HIGH SCHOOL
                               BOARDING - SEMI BOARDING - BILINGUAL PROGRAM         </t>
  </si>
  <si>
    <t xml:space="preserve"> BẢNG TÍNH LƯƠNG NHÂN VIÊN FULLTIME THÁNG 03.2026</t>
  </si>
  <si>
    <t>HỌ TÊN</t>
  </si>
  <si>
    <t>ỦY QUYỀN</t>
  </si>
  <si>
    <t>Ngày công
 bắt buộc</t>
  </si>
  <si>
    <t>LƯƠNG</t>
  </si>
  <si>
    <t>TỔNG</t>
  </si>
  <si>
    <t>THỰC NHẬN</t>
  </si>
  <si>
    <t>GHI 
CHÚ</t>
  </si>
  <si>
    <t>CÁCH TÍNH LƯƠNG</t>
  </si>
  <si>
    <t>LCB/
Lương dạy</t>
  </si>
  <si>
    <t>Kiêm nhiệm</t>
  </si>
  <si>
    <t>GVCN</t>
  </si>
  <si>
    <t>Vượt giờ dạy</t>
  </si>
  <si>
    <t>Hội đồng sư phạm</t>
  </si>
  <si>
    <t>Thu nhập khác</t>
  </si>
  <si>
    <t>Số ngày tăng ca</t>
  </si>
  <si>
    <t>Tiền tăng ca</t>
  </si>
  <si>
    <t>Ngày vắng</t>
  </si>
  <si>
    <t>Trừ vắng</t>
  </si>
  <si>
    <t>BHXH
 10,5%</t>
  </si>
  <si>
    <t>TNCN</t>
  </si>
  <si>
    <t>A</t>
  </si>
  <si>
    <t>NHÂN VIÊN CƠ HỮU ( KHÔNG  THAM GIA BHXH)</t>
  </si>
  <si>
    <t xml:space="preserve"> Lê Khánh Sơn</t>
  </si>
  <si>
    <t>Truyền thông</t>
  </si>
  <si>
    <t>44 ca</t>
  </si>
  <si>
    <t>Tiên Thị Ngọc Trân</t>
  </si>
  <si>
    <t>Nguyễn Quốc Thịnh</t>
  </si>
  <si>
    <t>RỒI</t>
  </si>
  <si>
    <t>làm 8 ngày</t>
  </si>
  <si>
    <t>thử việc 23.3.26</t>
  </si>
  <si>
    <t>Trần Thị Tây Thy</t>
  </si>
  <si>
    <t>thử việc kt</t>
  </si>
  <si>
    <t xml:space="preserve"> Nguyễn Thị Mộng Bình</t>
  </si>
  <si>
    <t>Kế toán</t>
  </si>
  <si>
    <t>Nguyễn Hoàng Tỷ</t>
  </si>
  <si>
    <t>Trợ lý</t>
  </si>
  <si>
    <t>bồi dưỡng</t>
  </si>
  <si>
    <t>Nguyễn Quỳnh Vy</t>
  </si>
  <si>
    <t>thử việc qs</t>
  </si>
  <si>
    <t>thử việc từ 2/2/26</t>
  </si>
  <si>
    <t>Cao Trọng Quý</t>
  </si>
  <si>
    <t>thử việc từ 2/3/26</t>
  </si>
  <si>
    <t>Phạm Huy Trường</t>
  </si>
  <si>
    <t>BV</t>
  </si>
  <si>
    <t>Trần Trọng Tạo</t>
  </si>
  <si>
    <t>Lê Thị Phương</t>
  </si>
  <si>
    <t>Y TẾ</t>
  </si>
  <si>
    <t>Nguyễn Ngọc Hiếu</t>
  </si>
  <si>
    <t>TX</t>
  </si>
  <si>
    <t>Hà Hải Hưng</t>
  </si>
  <si>
    <t>Hồ Thị Vũ</t>
  </si>
  <si>
    <t>Tạp vụ</t>
  </si>
  <si>
    <t>Nguyễn Thị Vân</t>
  </si>
  <si>
    <t>Nguyễn Lệ Hát</t>
  </si>
  <si>
    <t>Bếp</t>
  </si>
  <si>
    <t>Nguyễn Hoàng Minh</t>
  </si>
  <si>
    <t xml:space="preserve"> thử việc vp, hóa</t>
  </si>
  <si>
    <t>làm 5.5 ngày</t>
  </si>
  <si>
    <t>đã nghỉ</t>
  </si>
  <si>
    <t>TỔNG TIỀN NHÂN VIÊN CƠ HỮU ( KHÔNG  THAM GIA BHXH)</t>
  </si>
  <si>
    <t>B</t>
  </si>
  <si>
    <t>GIÁO VIÊN, NHÂN VIÊN ( THAM GIA BHXH)</t>
  </si>
  <si>
    <t>Sơn Thị Thanh Hồng</t>
  </si>
  <si>
    <t>CHƯA</t>
  </si>
  <si>
    <t>PHT-GV Hoá</t>
  </si>
  <si>
    <t xml:space="preserve">THPT  11 </t>
  </si>
  <si>
    <t>nếu nghỉ, tăng ca thì tính trên mức 10tr PHT</t>
  </si>
  <si>
    <t>TQS -QV lý</t>
  </si>
  <si>
    <t>THPT 12</t>
  </si>
  <si>
    <t>nếu nghỉ, tăng ca thì tính trên mức 7tr QS</t>
  </si>
  <si>
    <t>Lư Thị Bé Bay</t>
  </si>
  <si>
    <t>TS - QLMN</t>
  </si>
  <si>
    <t xml:space="preserve">  ql bán trú 1tr, môi trường 500k, văn hóa doanh nghiệp 500k,  KPI 3tr, ql zalo, fb 1000k, duy trì sĩ số 500k</t>
  </si>
  <si>
    <t>Đặng Ái Diễm</t>
  </si>
  <si>
    <t>TS-QS</t>
  </si>
  <si>
    <t xml:space="preserve"> quản sinh, quản học tối 4tr, trang zalo, fb 500k, dv ăn uống 500k, công đoàn 1tr, duy trì sĩ số 500k, KPI 2tr</t>
  </si>
  <si>
    <t>Nguyễn Thái Hiển</t>
  </si>
  <si>
    <t>GV thể dục
- CSVC</t>
  </si>
  <si>
    <t>nếu nghỉ, tăng ca thì tính trên mức 5tr CSVC</t>
  </si>
  <si>
    <t>Nguyễn Thị Ánh Phương</t>
  </si>
  <si>
    <t>Phụ bếp</t>
  </si>
  <si>
    <t>Phạm Hoàng Yến</t>
  </si>
  <si>
    <t>Thủ quỹ</t>
  </si>
  <si>
    <t>Mạch Tô Ngọc Hân</t>
  </si>
  <si>
    <t>GV - Văn</t>
  </si>
  <si>
    <t>THPT 8,9
NKCT 9A1</t>
  </si>
  <si>
    <t>viết bài quảng cáo 500k, hỗ trợ giám thì và tư vấn tâm lý 300k/ tuần</t>
  </si>
  <si>
    <t>Nguyễn Minh Khoa</t>
  </si>
  <si>
    <t xml:space="preserve"> CHƯA</t>
  </si>
  <si>
    <t xml:space="preserve">BTĐ -GV Văn </t>
  </si>
  <si>
    <t>THPT 10</t>
  </si>
  <si>
    <t xml:space="preserve"> bí thư đoàn trường 4 triệu</t>
  </si>
  <si>
    <t>Trần Hoàng Khiếm</t>
  </si>
  <si>
    <t>P. BTĐ -GV địa</t>
  </si>
  <si>
    <t>NKCT 7A2</t>
  </si>
  <si>
    <t>phó bí thư 1tr</t>
  </si>
  <si>
    <t>Trần Thị Kim Anh</t>
  </si>
  <si>
    <t>GV- Toán</t>
  </si>
  <si>
    <t>Lê Thị Thùy Trang</t>
  </si>
  <si>
    <t>GV- AV</t>
  </si>
  <si>
    <t>THPT 6,7</t>
  </si>
  <si>
    <t>lương cơ hữu 4,8tr đảm bảo dạy  tất cả mọi  nơi AVM cộng lại ( nếu không đủ  sẽ trả thêm phần tiền thiếu)</t>
  </si>
  <si>
    <t>Lê Kim Oanh</t>
  </si>
  <si>
    <t>NKCT 
9A2</t>
  </si>
  <si>
    <t>Phạm Đa Hiền Thư</t>
  </si>
  <si>
    <t xml:space="preserve">NKCT 12  </t>
  </si>
  <si>
    <t xml:space="preserve"> kiêm nhiệm Tổ trưởng AV 1tr
lương cơ hữu 4,8tr đảm bảo dạy  tất cả mọi  nơi AVM cộng lại ( nếu không đủ  sẽ trả thêm phần tiền thiếu)</t>
  </si>
  <si>
    <t>Nguyễn Minh Đức</t>
  </si>
  <si>
    <t>2 NƠI</t>
  </si>
  <si>
    <t>GV - VL</t>
  </si>
  <si>
    <t xml:space="preserve"> nhờ đóng
 BHXH dùm</t>
  </si>
  <si>
    <t>Nguyễn Thị Bé Chính</t>
  </si>
  <si>
    <t>GV _Toán</t>
  </si>
  <si>
    <t>Đoàn Thị Thương Thảo</t>
  </si>
  <si>
    <t>2 nơi</t>
  </si>
  <si>
    <t>GV - AV</t>
  </si>
  <si>
    <t>TỔNG TIỀN GIÁO VIÊN, NHÂN VIÊN ( THAM GIA BHXH)</t>
  </si>
  <si>
    <t>C</t>
  </si>
  <si>
    <t>GIÁO VIÊN CƠ HỮU, THỈNH GIẢNG,  TẬP SỰ , THEO PHƯƠNG THỨC 2</t>
  </si>
  <si>
    <t>Mai Đình Lộc</t>
  </si>
  <si>
    <t>THPT,full,T</t>
  </si>
  <si>
    <t>NKCT 8A1</t>
  </si>
  <si>
    <t>68 tiết/tháng,  LCS 2.340.000đ*2,67= 6.247.800đ
GVCN 4 tiết/tuần, nếu trong tháng không đủ tiết quy định  thì quy tiết GVCN vô cộng vào luôn</t>
  </si>
  <si>
    <t>Phạm Thị Lanh</t>
  </si>
  <si>
    <t>THCS,full,T</t>
  </si>
  <si>
    <t>NKCT 7A1</t>
  </si>
  <si>
    <t>76 tiết /tháng,  LCS 2.340.000đ*2,34= 5.475.600đ đang  tập sự  hưởng 85%
GVCN 4 tiết/tuần, nếu trong tháng không đủ tiết quy định  thì quy tiết GVCN vô cộng vào luôn</t>
  </si>
  <si>
    <t>Nguyễn Thị Khéo</t>
  </si>
  <si>
    <t xml:space="preserve"> RỒI</t>
  </si>
  <si>
    <t>THCS,full,S</t>
  </si>
  <si>
    <t>NKCT L6</t>
  </si>
  <si>
    <t>76 tiết /tháng, LCS 2.340.000đ*2,34= 5.475.600đ đang  tập sự  hưởng 85%
GVCN 4 tiết/tuần, nếu trong tháng không đủ tiết quy định  thì quy tiết GVCN vô cộng vào luôn</t>
  </si>
  <si>
    <t>Nguyễn Thị Trúc Linh</t>
  </si>
  <si>
    <t>THCS,TG_T</t>
  </si>
  <si>
    <t>lương cơ sở 2.340.000đ*2,34= 5.475.600đ đang  tập sự  hưởng 85%</t>
  </si>
  <si>
    <t xml:space="preserve"> Trần Kim Tiền</t>
  </si>
  <si>
    <t>THCS, full V</t>
  </si>
  <si>
    <t>Lê Thị Kim Nhẫn</t>
  </si>
  <si>
    <t xml:space="preserve">THCS, full  </t>
  </si>
  <si>
    <t>Phạm Mai Phương Thảo</t>
  </si>
  <si>
    <t>THCS, full</t>
  </si>
  <si>
    <t xml:space="preserve">TỔNG TIỀN GIÁO VIÊN PHƯƠNG THỨC 2 </t>
  </si>
  <si>
    <t>D</t>
  </si>
  <si>
    <t>GIÁO VIÊN THỈNH GIẢNG  TRƯỜNG THPT  PHƯƠNG THỨC 1</t>
  </si>
  <si>
    <t>Nguyễn Diễm My</t>
  </si>
  <si>
    <t>GV_SINH</t>
  </si>
  <si>
    <t>NKCT 11</t>
  </si>
  <si>
    <t>Nguyễn Văn Giang</t>
  </si>
  <si>
    <t>GV_TIN</t>
  </si>
  <si>
    <t>Nguyễn Văn Vũ</t>
  </si>
  <si>
    <t>GV _SH</t>
  </si>
  <si>
    <t>Chung Bảo Sơn</t>
  </si>
  <si>
    <t>GV_GDCD</t>
  </si>
  <si>
    <t>NKCT 10</t>
  </si>
  <si>
    <t>Nguyễn Thị Nhật Thy</t>
  </si>
  <si>
    <t>GV- nhạc</t>
  </si>
  <si>
    <t>Nguyễn Thụy 
Ngọc Thanh Loan</t>
  </si>
  <si>
    <t>GV _SỬ</t>
  </si>
  <si>
    <t>Dương Hiền Minh</t>
  </si>
  <si>
    <t>GV - Hoá</t>
  </si>
  <si>
    <t>NKCT 8A2</t>
  </si>
  <si>
    <t>Phạm Kim Thoa</t>
  </si>
  <si>
    <t>GV-  Sử</t>
  </si>
  <si>
    <t>Nguyễn Văn Thế</t>
  </si>
  <si>
    <t>GV -Vật lý</t>
  </si>
  <si>
    <t xml:space="preserve">Huỳnh Nguyễn Minh Vy </t>
  </si>
  <si>
    <t>Đinh Văn Phúc</t>
  </si>
  <si>
    <t>GV -Sử</t>
  </si>
  <si>
    <t>Huỳnh Trí Hiếu</t>
  </si>
  <si>
    <t>GV Toán</t>
  </si>
  <si>
    <t>Huỳnh Văn Tây</t>
  </si>
  <si>
    <t>GV GDCD</t>
  </si>
  <si>
    <t>100k/ tiết các lớp, riêng  lớp 12 có dạy thì hỏi lại</t>
  </si>
  <si>
    <t>Phạm Trương Kim Dương</t>
  </si>
  <si>
    <t>GV MT</t>
  </si>
  <si>
    <t>thiếu</t>
  </si>
  <si>
    <t>Nguyễn Thị Ngọc Phúc</t>
  </si>
  <si>
    <t>GV Địa</t>
  </si>
  <si>
    <t>Võ Thành Công</t>
  </si>
  <si>
    <t>QHT</t>
  </si>
  <si>
    <t xml:space="preserve"> 150K/buổi  QHT</t>
  </si>
  <si>
    <t>Trần Nguyễn An Khánh</t>
  </si>
  <si>
    <t>Dương Hoàng Yến Nhi</t>
  </si>
  <si>
    <t>TỶ</t>
  </si>
  <si>
    <t>TỔNG TIỀN GIÁO VIÊN THÌNH GIẢNG  - PHƯƠNG THỨC 1</t>
  </si>
  <si>
    <t>E</t>
  </si>
  <si>
    <t>GIÁO VIÊN TRƯỜNG NĂNG KHIẾU CẦN THƠ</t>
  </si>
  <si>
    <t xml:space="preserve">Đào Thị Hoa </t>
  </si>
  <si>
    <t xml:space="preserve">GV TH </t>
  </si>
  <si>
    <t>NKCT 5</t>
  </si>
  <si>
    <t>LCB  7tr //26 ngày* ngày đi làm thứ 2-thứ 6 làm bao nhiêu thì tính bao nhiêu</t>
  </si>
  <si>
    <t>Nguyễn Thị Ngọc Như</t>
  </si>
  <si>
    <t xml:space="preserve">2 NƠI </t>
  </si>
  <si>
    <t>NKCT 4</t>
  </si>
  <si>
    <t>LCB 5tr  /26 ngày* ngày đi làm thứ 2-thứ 6 làm bao nhiêu thì tính bao nhiêu</t>
  </si>
  <si>
    <t>Hồ Thị Mỵ</t>
  </si>
  <si>
    <t>GV_Tin</t>
  </si>
  <si>
    <t xml:space="preserve"> cấp 3: 100k/ tiết, cấp 2: 90k/ tiết</t>
  </si>
  <si>
    <t>Nguyễn Thị Hồng Uyên</t>
  </si>
  <si>
    <t>GV_Toán</t>
  </si>
  <si>
    <t>100k/ tiết các lớp</t>
  </si>
  <si>
    <t>Mai Thị Thùy Dương</t>
  </si>
  <si>
    <t>GV_ AV</t>
  </si>
  <si>
    <t>Trương Cẩm Vy</t>
  </si>
  <si>
    <t>GV _ AV</t>
  </si>
  <si>
    <t>Nguyễn NgọcThiên Tường</t>
  </si>
  <si>
    <t>Đặng Hoàng Liên Quang Trung</t>
  </si>
  <si>
    <t>Thầy Hà (Thầy Trà tự trả tiền riêng )</t>
  </si>
  <si>
    <t>TỔNG TIỀN GIÁO VIÊN TRƯỜNG NĂNG KHIẾU CẦN THƠ</t>
  </si>
  <si>
    <t>F</t>
  </si>
  <si>
    <t>GIÁO VIÊN TRƯỜNG NĂNG KHIẾU SÓC TRĂNG</t>
  </si>
  <si>
    <t>Trịnh Ngọc Hiếu</t>
  </si>
  <si>
    <t>QS-GT</t>
  </si>
  <si>
    <t>LCB  5tr /26 ngày* ngày đi làm thứ 2-thứ 6 làm bao nhiêu thì tính bao nhiêu</t>
  </si>
  <si>
    <t>Lý Thị Hồng Anh</t>
  </si>
  <si>
    <t xml:space="preserve">GV Lý </t>
  </si>
  <si>
    <t>NKST 7</t>
  </si>
  <si>
    <t>Liêu Sang</t>
  </si>
  <si>
    <t>NKST 8</t>
  </si>
  <si>
    <t>Lâm Ngọc Vũ</t>
  </si>
  <si>
    <t>NKST 9</t>
  </si>
  <si>
    <t>Dương Thanh Triều</t>
  </si>
  <si>
    <t>GV KTP</t>
  </si>
  <si>
    <t>NKST 10</t>
  </si>
  <si>
    <t>Lâm SUVATTHA</t>
  </si>
  <si>
    <t>NKST 11</t>
  </si>
  <si>
    <t>Lê Trang Xuân Mộng</t>
  </si>
  <si>
    <t>NKST 12</t>
  </si>
  <si>
    <t>Liêu Triệu Minh Trân</t>
  </si>
  <si>
    <t>GV Toán
-Tin</t>
  </si>
  <si>
    <t>Viên Ngọc Thủy</t>
  </si>
  <si>
    <t>GV Văn</t>
  </si>
  <si>
    <t>Lê Hoàng Ngang</t>
  </si>
  <si>
    <t>Ngô Bảo Tín</t>
  </si>
  <si>
    <t>Lê Xuân Duy Hinh</t>
  </si>
  <si>
    <t>GV Lý-Tin</t>
  </si>
  <si>
    <t>Trần Thủ Thi</t>
  </si>
  <si>
    <t>GV Hoá</t>
  </si>
  <si>
    <t>Lưu Tú Kim</t>
  </si>
  <si>
    <t>Kim Mỹ Loan</t>
  </si>
  <si>
    <t>GV Sinh</t>
  </si>
  <si>
    <t>Phúa Thị Ngọc Yến</t>
  </si>
  <si>
    <t>GV Sử</t>
  </si>
  <si>
    <t>Lý Thị Út Quyên</t>
  </si>
  <si>
    <t>Trần Thị Kim Hồng</t>
  </si>
  <si>
    <t>Liêu Phong Lan</t>
  </si>
  <si>
    <t>Trần Quen</t>
  </si>
  <si>
    <t>Trần Đại Từ</t>
  </si>
  <si>
    <t>Thầy Thạch ( Thầy Trà tự trả tiền riêng )</t>
  </si>
  <si>
    <t>TỔNG TIỀN  GIÁO VIÊN TRƯỜNG NĂNG KHIẾU SÓC TRĂNG</t>
  </si>
  <si>
    <t>G</t>
  </si>
  <si>
    <t>GIÁO VIÊN BỒI DƯỠNG</t>
  </si>
  <si>
    <t xml:space="preserve"> Nguyễn Như Tiếp</t>
  </si>
  <si>
    <t>GV lý</t>
  </si>
  <si>
    <t>Cô Phương anh</t>
  </si>
  <si>
    <t xml:space="preserve">Thầy Nhất </t>
  </si>
  <si>
    <t>Thầy Đức Anh</t>
  </si>
  <si>
    <t>GV Hóa</t>
  </si>
  <si>
    <t>Thầy Phương</t>
  </si>
  <si>
    <t>TỔNG TIỀN GIÁO VIÊN BỒI DƯỠNG VĂN HÓA</t>
  </si>
  <si>
    <t>TỔNG TIỀN</t>
  </si>
  <si>
    <t>X</t>
  </si>
  <si>
    <t>Cần Thơ, ngày 15 tháng 4 năm 2026</t>
  </si>
  <si>
    <t>Người lập</t>
  </si>
  <si>
    <t>Thủ trưởng đơn vị</t>
  </si>
  <si>
    <t>Nguyễn Thị Mộng Bình</t>
  </si>
  <si>
    <t xml:space="preserve"> PGS.TS Vũ Thanh Trà</t>
  </si>
  <si>
    <t>NGUYỄN DIỄM MY</t>
  </si>
  <si>
    <t>NGUYỄN VĂN GIANG</t>
  </si>
  <si>
    <t>NGUYỄN VĂN VŨ</t>
  </si>
  <si>
    <t>CHUNG BẢO SƠN</t>
  </si>
  <si>
    <t>NGUYỄN THỊ NHẬT THY</t>
  </si>
  <si>
    <t>NGUYỄN THỤY NGỌC THANH LOAN</t>
  </si>
  <si>
    <t>DƯƠNG HIỀN MINH</t>
  </si>
  <si>
    <t>PHẠM KIM THOA</t>
  </si>
  <si>
    <t>NGUYỄN VĂN THẾ</t>
  </si>
  <si>
    <t>HUỲNH NGUYỄN MINH VY</t>
  </si>
  <si>
    <t>ĐINH VĂN PHÚC</t>
  </si>
  <si>
    <t>HUỲNH TRÍ HIẾU</t>
  </si>
  <si>
    <t>HUỲNH VĂN TÂY</t>
  </si>
  <si>
    <t>PHẠM TRƯƠNG KIM DƯƠNG</t>
  </si>
  <si>
    <t>NGUYỄN THỊ NGỌC PHÚC</t>
  </si>
  <si>
    <t>GV SINH</t>
  </si>
  <si>
    <t>GV TIN</t>
  </si>
  <si>
    <t xml:space="preserve"> GV SINH</t>
  </si>
  <si>
    <t>GV GDKT&amp;PL</t>
  </si>
  <si>
    <t>GV ÂM NHẠC</t>
  </si>
  <si>
    <t>GV SỬ</t>
  </si>
  <si>
    <t>GV VẬT LÝ</t>
  </si>
  <si>
    <t xml:space="preserve"> GV TOÁN</t>
  </si>
  <si>
    <t>GV - GDCD</t>
  </si>
  <si>
    <t>GV MỸ THUẬT</t>
  </si>
  <si>
    <t>GV ĐỊA</t>
  </si>
  <si>
    <t>NKCT L11</t>
  </si>
  <si>
    <t>NKCT L10</t>
  </si>
  <si>
    <t>PT1</t>
  </si>
  <si>
    <t>100K/ TIẾT,
  ( nếu có dạy L12 thì hỏi lại)</t>
  </si>
  <si>
    <t>Trừ TNCN (10%/ lương)</t>
  </si>
  <si>
    <t>2 nơi  thu 10%</t>
  </si>
  <si>
    <t>2 nơi  thu 10%
 không vượt 15,5tr</t>
  </si>
  <si>
    <t>2 nơi  thu 10%, 
 không vượt 15,5tr</t>
  </si>
  <si>
    <t>941606447</t>
  </si>
  <si>
    <t>939961626</t>
  </si>
  <si>
    <t>989499585</t>
  </si>
  <si>
    <t>348399870</t>
  </si>
  <si>
    <t>907271001</t>
  </si>
  <si>
    <t>939647899</t>
  </si>
  <si>
    <t>947114309</t>
  </si>
  <si>
    <t>778602585</t>
  </si>
  <si>
    <t>582255388</t>
  </si>
  <si>
    <t>917189549</t>
  </si>
  <si>
    <t>944100099</t>
  </si>
  <si>
    <t>913642605</t>
  </si>
  <si>
    <t>981634458</t>
  </si>
  <si>
    <t>0939331585</t>
  </si>
  <si>
    <t>979386993</t>
  </si>
  <si>
    <t>ĐOÀN THỊ THƯƠNG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</si>
</sst>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000"/>
  </numFmts>
  <fonts count="24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9"/>
      <name val="Times New Roman"/>
      <family val="1"/>
    </font>
    <font>
      <b/>
      <sz val="10"/>
      <color rgb="FFFF000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8"/>
      <name val="Times New Roman"/>
      <family val="1"/>
    </font>
    <font>
      <b/>
      <sz val="6"/>
      <color rgb="FFFF000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6"/>
      <name val="Times New Roman"/>
      <family val="1"/>
    </font>
    <font>
      <i/>
      <sz val="9"/>
      <name val="Times New Roman"/>
      <family val="1"/>
    </font>
    <font>
      <sz val="10"/>
      <color rgb="FF00B050"/>
      <name val="Times New Roman"/>
      <family val="1"/>
    </font>
    <font>
      <sz val="13"/>
      <color rgb="FF00B050"/>
      <name val="Times New Roman"/>
      <family val="1"/>
    </font>
    <font>
      <b/>
      <sz val="10"/>
      <color rgb="FF00B050"/>
      <name val="Times New Roman"/>
      <family val="1"/>
    </font>
    <font>
      <sz val="8"/>
      <color rgb="FF00B050"/>
      <name val="Times New Roman"/>
      <family val="1"/>
    </font>
    <font>
      <b/>
      <sz val="8"/>
      <color rgb="FF00B05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/>
    <xf numFmtId="43" fontId="4" fillId="0" borderId="0"/>
  </cellStyleXfs>
  <cellXfs count="33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3" borderId="1" xfId="1" applyNumberFormat="1" applyFont="1" applyFill="1" applyBorder="1" applyAlignment="1">
      <alignment vertical="center"/>
    </xf>
    <xf numFmtId="164" fontId="3" fillId="3" borderId="1" xfId="2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wrapText="1"/>
    </xf>
    <xf numFmtId="164" fontId="2" fillId="0" borderId="0" xfId="1" applyNumberFormat="1" applyFont="1" applyAlignment="1">
      <alignment horizontal="center" wrapText="1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164" fontId="2" fillId="0" borderId="0" xfId="1" applyNumberFormat="1" applyFont="1"/>
    <xf numFmtId="164" fontId="2" fillId="0" borderId="0" xfId="1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164" fontId="2" fillId="0" borderId="0" xfId="1" applyNumberFormat="1" applyFont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4" borderId="10" xfId="1" applyNumberFormat="1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vertical="center"/>
    </xf>
    <xf numFmtId="164" fontId="2" fillId="8" borderId="10" xfId="1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164" fontId="2" fillId="0" borderId="10" xfId="1" applyNumberFormat="1" applyFont="1" applyBorder="1" applyAlignment="1">
      <alignment vertical="center"/>
    </xf>
    <xf numFmtId="164" fontId="2" fillId="0" borderId="10" xfId="1" applyNumberFormat="1" applyFont="1" applyBorder="1" applyAlignment="1">
      <alignment horizontal="right" vertical="center"/>
    </xf>
    <xf numFmtId="164" fontId="2" fillId="3" borderId="10" xfId="1" applyNumberFormat="1" applyFont="1" applyFill="1" applyBorder="1" applyAlignment="1">
      <alignment vertical="center"/>
    </xf>
    <xf numFmtId="164" fontId="3" fillId="3" borderId="1" xfId="2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2" fillId="3" borderId="13" xfId="1" applyNumberFormat="1" applyFont="1" applyFill="1" applyBorder="1" applyAlignment="1">
      <alignment vertical="center"/>
    </xf>
    <xf numFmtId="164" fontId="2" fillId="3" borderId="14" xfId="1" applyNumberFormat="1" applyFont="1" applyFill="1" applyBorder="1" applyAlignment="1">
      <alignment vertical="center"/>
    </xf>
    <xf numFmtId="164" fontId="2" fillId="3" borderId="0" xfId="1" applyNumberFormat="1" applyFont="1" applyFill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8" borderId="1" xfId="2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left" vertical="center"/>
    </xf>
    <xf numFmtId="164" fontId="2" fillId="3" borderId="1" xfId="2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0" xfId="1" applyNumberFormat="1" applyFont="1" applyFill="1" applyAlignment="1">
      <alignment horizontal="center" wrapText="1"/>
    </xf>
    <xf numFmtId="164" fontId="7" fillId="3" borderId="1" xfId="1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/>
    </xf>
    <xf numFmtId="164" fontId="2" fillId="3" borderId="0" xfId="1" applyNumberFormat="1" applyFont="1" applyFill="1"/>
    <xf numFmtId="0" fontId="2" fillId="3" borderId="0" xfId="0" applyFont="1" applyFill="1" applyAlignment="1">
      <alignment horizontal="center" vertical="center"/>
    </xf>
    <xf numFmtId="164" fontId="2" fillId="2" borderId="1" xfId="1" applyNumberFormat="1" applyFont="1" applyFill="1" applyBorder="1" applyAlignment="1">
      <alignment vertical="center"/>
    </xf>
    <xf numFmtId="164" fontId="2" fillId="7" borderId="1" xfId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164" fontId="2" fillId="9" borderId="1" xfId="1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164" fontId="7" fillId="0" borderId="10" xfId="1" applyNumberFormat="1" applyFont="1" applyBorder="1" applyAlignment="1">
      <alignment vertical="center"/>
    </xf>
    <xf numFmtId="0" fontId="3" fillId="3" borderId="0" xfId="0" applyFont="1" applyFill="1"/>
    <xf numFmtId="164" fontId="3" fillId="3" borderId="0" xfId="1" applyNumberFormat="1" applyFont="1" applyFill="1"/>
    <xf numFmtId="164" fontId="3" fillId="3" borderId="0" xfId="1" applyNumberFormat="1" applyFont="1" applyFill="1" applyAlignment="1">
      <alignment vertical="center"/>
    </xf>
    <xf numFmtId="164" fontId="3" fillId="3" borderId="0" xfId="1" applyNumberFormat="1" applyFont="1" applyFill="1" applyAlignment="1">
      <alignment horizontal="center" vertical="center"/>
    </xf>
    <xf numFmtId="164" fontId="3" fillId="3" borderId="10" xfId="1" applyNumberFormat="1" applyFont="1" applyFill="1" applyBorder="1" applyAlignment="1">
      <alignment vertical="center"/>
    </xf>
    <xf numFmtId="164" fontId="7" fillId="3" borderId="10" xfId="1" applyNumberFormat="1" applyFont="1" applyFill="1" applyBorder="1" applyAlignment="1">
      <alignment vertical="center"/>
    </xf>
    <xf numFmtId="164" fontId="2" fillId="3" borderId="10" xfId="1" applyNumberFormat="1" applyFont="1" applyFill="1" applyBorder="1" applyAlignment="1">
      <alignment horizontal="right" vertical="center"/>
    </xf>
    <xf numFmtId="164" fontId="2" fillId="8" borderId="2" xfId="1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64" fontId="2" fillId="8" borderId="1" xfId="2" applyNumberFormat="1" applyFont="1" applyFill="1" applyBorder="1" applyAlignment="1">
      <alignment horizontal="left" vertical="center" wrapText="1"/>
    </xf>
    <xf numFmtId="165" fontId="2" fillId="8" borderId="1" xfId="2" applyNumberFormat="1" applyFont="1" applyFill="1" applyBorder="1" applyAlignment="1">
      <alignment vertical="center"/>
    </xf>
    <xf numFmtId="164" fontId="5" fillId="3" borderId="0" xfId="2" applyNumberFormat="1" applyFont="1" applyFill="1" applyAlignment="1">
      <alignment wrapText="1"/>
    </xf>
    <xf numFmtId="164" fontId="5" fillId="9" borderId="5" xfId="2" applyNumberFormat="1" applyFont="1" applyFill="1" applyBorder="1" applyAlignment="1">
      <alignment horizontal="center" vertical="center"/>
    </xf>
    <xf numFmtId="164" fontId="5" fillId="8" borderId="5" xfId="2" applyNumberFormat="1" applyFont="1" applyFill="1" applyBorder="1" applyAlignment="1">
      <alignment vertical="center"/>
    </xf>
    <xf numFmtId="164" fontId="5" fillId="3" borderId="5" xfId="2" applyNumberFormat="1" applyFont="1" applyFill="1" applyBorder="1" applyAlignment="1">
      <alignment vertical="center"/>
    </xf>
    <xf numFmtId="164" fontId="5" fillId="3" borderId="5" xfId="2" applyNumberFormat="1" applyFont="1" applyFill="1" applyBorder="1" applyAlignment="1">
      <alignment horizontal="left" vertical="center" wrapText="1"/>
    </xf>
    <xf numFmtId="164" fontId="5" fillId="8" borderId="5" xfId="2" applyNumberFormat="1" applyFont="1" applyFill="1" applyBorder="1" applyAlignment="1">
      <alignment horizontal="left" vertical="center" wrapText="1"/>
    </xf>
    <xf numFmtId="164" fontId="5" fillId="3" borderId="5" xfId="2" applyNumberFormat="1" applyFont="1" applyFill="1" applyBorder="1" applyAlignment="1">
      <alignment horizontal="left" vertical="center"/>
    </xf>
    <xf numFmtId="164" fontId="5" fillId="3" borderId="0" xfId="2" applyNumberFormat="1" applyFont="1" applyFill="1"/>
    <xf numFmtId="164" fontId="5" fillId="3" borderId="0" xfId="2" applyNumberFormat="1" applyFont="1" applyFill="1" applyAlignment="1">
      <alignment horizontal="left" vertical="center"/>
    </xf>
    <xf numFmtId="164" fontId="5" fillId="3" borderId="0" xfId="2" applyNumberFormat="1" applyFont="1" applyFill="1" applyAlignment="1">
      <alignment horizontal="center" vertical="center"/>
    </xf>
    <xf numFmtId="164" fontId="5" fillId="4" borderId="11" xfId="2" applyNumberFormat="1" applyFont="1" applyFill="1" applyBorder="1" applyAlignment="1">
      <alignment horizontal="center" vertical="center"/>
    </xf>
    <xf numFmtId="164" fontId="5" fillId="8" borderId="11" xfId="2" applyNumberFormat="1" applyFont="1" applyFill="1" applyBorder="1" applyAlignment="1">
      <alignment vertical="center"/>
    </xf>
    <xf numFmtId="164" fontId="5" fillId="3" borderId="11" xfId="2" applyNumberFormat="1" applyFont="1" applyFill="1" applyBorder="1" applyAlignment="1">
      <alignment vertical="center"/>
    </xf>
    <xf numFmtId="164" fontId="5" fillId="3" borderId="11" xfId="2" applyNumberFormat="1" applyFont="1" applyFill="1" applyBorder="1" applyAlignment="1">
      <alignment horizontal="left" vertical="center" wrapText="1"/>
    </xf>
    <xf numFmtId="164" fontId="5" fillId="8" borderId="11" xfId="2" applyNumberFormat="1" applyFont="1" applyFill="1" applyBorder="1" applyAlignment="1">
      <alignment horizontal="left" vertical="center" wrapText="1"/>
    </xf>
    <xf numFmtId="164" fontId="5" fillId="3" borderId="12" xfId="2" applyNumberFormat="1" applyFont="1" applyFill="1" applyBorder="1" applyAlignment="1">
      <alignment horizontal="left" vertical="center"/>
    </xf>
    <xf numFmtId="164" fontId="5" fillId="0" borderId="0" xfId="2" applyNumberFormat="1" applyFont="1" applyAlignment="1">
      <alignment wrapText="1"/>
    </xf>
    <xf numFmtId="164" fontId="5" fillId="0" borderId="11" xfId="2" applyNumberFormat="1" applyFont="1" applyBorder="1" applyAlignment="1">
      <alignment vertical="center"/>
    </xf>
    <xf numFmtId="164" fontId="5" fillId="0" borderId="11" xfId="2" applyNumberFormat="1" applyFont="1" applyBorder="1" applyAlignment="1">
      <alignment horizontal="left" vertical="center" wrapText="1"/>
    </xf>
    <xf numFmtId="164" fontId="5" fillId="0" borderId="0" xfId="2" applyNumberFormat="1" applyFont="1"/>
    <xf numFmtId="164" fontId="5" fillId="5" borderId="0" xfId="2" applyNumberFormat="1" applyFont="1" applyFill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164" fontId="5" fillId="8" borderId="1" xfId="2" applyNumberFormat="1" applyFont="1" applyFill="1" applyBorder="1" applyAlignment="1">
      <alignment vertical="center"/>
    </xf>
    <xf numFmtId="164" fontId="5" fillId="3" borderId="1" xfId="2" applyNumberFormat="1" applyFont="1" applyFill="1" applyBorder="1" applyAlignment="1">
      <alignment vertical="center"/>
    </xf>
    <xf numFmtId="164" fontId="5" fillId="3" borderId="1" xfId="2" applyNumberFormat="1" applyFont="1" applyFill="1" applyBorder="1" applyAlignment="1">
      <alignment horizontal="left" vertical="center" wrapText="1"/>
    </xf>
    <xf numFmtId="164" fontId="5" fillId="8" borderId="1" xfId="2" applyNumberFormat="1" applyFont="1" applyFill="1" applyBorder="1" applyAlignment="1">
      <alignment horizontal="left" vertical="center" wrapText="1"/>
    </xf>
    <xf numFmtId="164" fontId="5" fillId="3" borderId="1" xfId="2" applyNumberFormat="1" applyFont="1" applyFill="1" applyBorder="1" applyAlignment="1">
      <alignment horizontal="left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vertical="center"/>
    </xf>
    <xf numFmtId="164" fontId="7" fillId="3" borderId="2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right" vertical="center"/>
    </xf>
    <xf numFmtId="164" fontId="5" fillId="9" borderId="11" xfId="2" applyNumberFormat="1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 vertical="center"/>
    </xf>
    <xf numFmtId="164" fontId="3" fillId="8" borderId="10" xfId="1" applyNumberFormat="1" applyFont="1" applyFill="1" applyBorder="1" applyAlignment="1">
      <alignment vertical="center"/>
    </xf>
    <xf numFmtId="164" fontId="3" fillId="3" borderId="10" xfId="1" applyNumberFormat="1" applyFont="1" applyFill="1" applyBorder="1" applyAlignment="1">
      <alignment vertical="center" wrapText="1"/>
    </xf>
    <xf numFmtId="164" fontId="10" fillId="3" borderId="10" xfId="1" applyNumberFormat="1" applyFont="1" applyFill="1" applyBorder="1" applyAlignment="1">
      <alignment vertical="center"/>
    </xf>
    <xf numFmtId="164" fontId="3" fillId="3" borderId="10" xfId="1" applyNumberFormat="1" applyFont="1" applyFill="1" applyBorder="1" applyAlignment="1">
      <alignment horizontal="right" vertical="center"/>
    </xf>
    <xf numFmtId="164" fontId="3" fillId="3" borderId="14" xfId="1" applyNumberFormat="1" applyFont="1" applyFill="1" applyBorder="1" applyAlignment="1">
      <alignment vertical="center"/>
    </xf>
    <xf numFmtId="164" fontId="5" fillId="7" borderId="11" xfId="2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5" fillId="10" borderId="11" xfId="2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164" fontId="2" fillId="10" borderId="1" xfId="1" applyNumberFormat="1" applyFont="1" applyFill="1" applyBorder="1" applyAlignment="1">
      <alignment horizontal="center" vertical="center"/>
    </xf>
    <xf numFmtId="164" fontId="2" fillId="10" borderId="10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164" fontId="2" fillId="8" borderId="1" xfId="2" applyNumberFormat="1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/>
    </xf>
    <xf numFmtId="164" fontId="2" fillId="3" borderId="10" xfId="1" applyNumberFormat="1" applyFont="1" applyFill="1" applyBorder="1" applyAlignment="1">
      <alignment vertical="center" wrapText="1"/>
    </xf>
    <xf numFmtId="164" fontId="5" fillId="7" borderId="11" xfId="2" applyNumberFormat="1" applyFont="1" applyFill="1" applyBorder="1" applyAlignment="1">
      <alignment vertical="center"/>
    </xf>
    <xf numFmtId="164" fontId="12" fillId="3" borderId="11" xfId="2" applyNumberFormat="1" applyFont="1" applyFill="1" applyBorder="1" applyAlignment="1">
      <alignment vertical="center"/>
    </xf>
    <xf numFmtId="164" fontId="3" fillId="3" borderId="2" xfId="1" applyNumberFormat="1" applyFont="1" applyFill="1" applyBorder="1" applyAlignment="1">
      <alignment vertical="center"/>
    </xf>
    <xf numFmtId="164" fontId="2" fillId="3" borderId="15" xfId="1" applyNumberFormat="1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164" fontId="13" fillId="3" borderId="1" xfId="2" applyNumberFormat="1" applyFont="1" applyFill="1" applyBorder="1" applyAlignment="1">
      <alignment vertical="center"/>
    </xf>
    <xf numFmtId="0" fontId="15" fillId="3" borderId="1" xfId="0" applyFont="1" applyFill="1" applyBorder="1" applyAlignment="1" applyProtection="1">
      <alignment vertical="center"/>
      <protection hidden="1"/>
    </xf>
    <xf numFmtId="164" fontId="15" fillId="3" borderId="1" xfId="1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 applyProtection="1">
      <alignment horizontal="left" vertical="center"/>
      <protection hidden="1"/>
    </xf>
    <xf numFmtId="164" fontId="7" fillId="2" borderId="10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>
      <alignment vertical="center"/>
    </xf>
    <xf numFmtId="164" fontId="7" fillId="3" borderId="10" xfId="1" applyNumberFormat="1" applyFont="1" applyFill="1" applyBorder="1" applyAlignment="1">
      <alignment horizontal="center" vertical="center" wrapText="1"/>
    </xf>
    <xf numFmtId="164" fontId="7" fillId="3" borderId="2" xfId="1" applyNumberFormat="1" applyFont="1" applyFill="1" applyBorder="1" applyAlignment="1">
      <alignment horizontal="center" vertical="center" wrapText="1"/>
    </xf>
    <xf numFmtId="164" fontId="10" fillId="3" borderId="10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64" fontId="7" fillId="0" borderId="10" xfId="1" applyNumberFormat="1" applyFont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vertical="center"/>
    </xf>
    <xf numFmtId="164" fontId="15" fillId="3" borderId="1" xfId="2" applyNumberFormat="1" applyFont="1" applyFill="1" applyBorder="1" applyAlignment="1">
      <alignment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165" fontId="15" fillId="3" borderId="1" xfId="2" applyNumberFormat="1" applyFont="1" applyFill="1" applyBorder="1" applyAlignment="1">
      <alignment vertical="center"/>
    </xf>
    <xf numFmtId="164" fontId="15" fillId="3" borderId="1" xfId="2" applyNumberFormat="1" applyFont="1" applyFill="1" applyBorder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164" fontId="13" fillId="3" borderId="0" xfId="1" applyNumberFormat="1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7" fillId="0" borderId="11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164" fontId="12" fillId="0" borderId="11" xfId="2" applyNumberFormat="1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12" fillId="3" borderId="5" xfId="2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12" fillId="3" borderId="1" xfId="2" applyNumberFormat="1" applyFont="1" applyFill="1" applyBorder="1" applyAlignment="1">
      <alignment horizontal="left" vertical="center" wrapText="1"/>
    </xf>
    <xf numFmtId="164" fontId="12" fillId="3" borderId="11" xfId="2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5" fillId="3" borderId="1" xfId="0" applyFont="1" applyFill="1" applyBorder="1" applyAlignment="1" applyProtection="1">
      <alignment horizontal="center" vertical="center"/>
      <protection hidden="1"/>
    </xf>
    <xf numFmtId="164" fontId="15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/>
    </xf>
    <xf numFmtId="164" fontId="12" fillId="3" borderId="10" xfId="1" applyNumberFormat="1" applyFont="1" applyFill="1" applyBorder="1" applyAlignment="1">
      <alignment vertical="center"/>
    </xf>
    <xf numFmtId="164" fontId="15" fillId="3" borderId="0" xfId="2" applyNumberFormat="1" applyFont="1" applyFill="1"/>
    <xf numFmtId="0" fontId="15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164" fontId="15" fillId="3" borderId="1" xfId="2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4" fontId="15" fillId="3" borderId="0" xfId="0" quotePrefix="1" applyNumberFormat="1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164" fontId="15" fillId="3" borderId="1" xfId="1" applyNumberFormat="1" applyFont="1" applyFill="1" applyBorder="1" applyAlignment="1">
      <alignment horizontal="center" vertical="center" wrapText="1"/>
    </xf>
    <xf numFmtId="164" fontId="15" fillId="3" borderId="1" xfId="2" applyNumberFormat="1" applyFont="1" applyFill="1" applyBorder="1"/>
    <xf numFmtId="0" fontId="15" fillId="3" borderId="1" xfId="0" applyFont="1" applyFill="1" applyBorder="1" applyAlignment="1">
      <alignment vertical="center" wrapText="1"/>
    </xf>
    <xf numFmtId="164" fontId="6" fillId="3" borderId="0" xfId="1" applyNumberFormat="1" applyFont="1" applyFill="1"/>
    <xf numFmtId="165" fontId="6" fillId="3" borderId="0" xfId="1" applyNumberFormat="1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/>
    <xf numFmtId="164" fontId="9" fillId="3" borderId="0" xfId="2" applyNumberFormat="1" applyFont="1" applyFill="1"/>
    <xf numFmtId="164" fontId="16" fillId="3" borderId="0" xfId="1" applyNumberFormat="1" applyFont="1" applyFill="1" applyAlignment="1">
      <alignment horizontal="center" vertic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/>
    </xf>
    <xf numFmtId="165" fontId="15" fillId="3" borderId="0" xfId="2" applyNumberFormat="1" applyFont="1" applyFill="1"/>
    <xf numFmtId="164" fontId="13" fillId="3" borderId="0" xfId="2" applyNumberFormat="1" applyFont="1" applyFill="1"/>
    <xf numFmtId="164" fontId="15" fillId="3" borderId="0" xfId="2" applyNumberFormat="1" applyFont="1" applyFill="1" applyAlignment="1">
      <alignment horizontal="left"/>
    </xf>
    <xf numFmtId="0" fontId="13" fillId="3" borderId="0" xfId="0" applyFont="1" applyFill="1"/>
    <xf numFmtId="164" fontId="13" fillId="3" borderId="0" xfId="1" applyNumberFormat="1" applyFont="1" applyFill="1"/>
    <xf numFmtId="164" fontId="13" fillId="3" borderId="0" xfId="2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164" fontId="13" fillId="3" borderId="0" xfId="1" applyNumberFormat="1" applyFont="1" applyFill="1" applyAlignment="1">
      <alignment horizontal="center" vertical="center"/>
    </xf>
    <xf numFmtId="164" fontId="13" fillId="3" borderId="1" xfId="2" applyNumberFormat="1" applyFont="1" applyFill="1" applyBorder="1" applyAlignment="1">
      <alignment horizontal="center" vertical="center" wrapText="1"/>
    </xf>
    <xf numFmtId="165" fontId="13" fillId="3" borderId="1" xfId="2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165" fontId="15" fillId="3" borderId="1" xfId="2" applyNumberFormat="1" applyFont="1" applyFill="1" applyBorder="1"/>
    <xf numFmtId="0" fontId="16" fillId="3" borderId="1" xfId="0" applyFont="1" applyFill="1" applyBorder="1" applyAlignment="1">
      <alignment horizontal="center" vertical="center"/>
    </xf>
    <xf numFmtId="164" fontId="15" fillId="3" borderId="1" xfId="2" applyNumberFormat="1" applyFont="1" applyFill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164" fontId="13" fillId="3" borderId="1" xfId="2" applyNumberFormat="1" applyFont="1" applyFill="1" applyBorder="1" applyAlignment="1">
      <alignment horizontal="left" vertical="center"/>
    </xf>
    <xf numFmtId="165" fontId="13" fillId="3" borderId="1" xfId="2" applyNumberFormat="1" applyFont="1" applyFill="1" applyBorder="1" applyAlignment="1">
      <alignment horizontal="center" vertical="center"/>
    </xf>
    <xf numFmtId="165" fontId="13" fillId="3" borderId="1" xfId="2" applyNumberFormat="1" applyFont="1" applyFill="1" applyBorder="1" applyAlignment="1">
      <alignment horizontal="left" vertical="center"/>
    </xf>
    <xf numFmtId="164" fontId="13" fillId="3" borderId="0" xfId="0" applyNumberFormat="1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64" fontId="13" fillId="3" borderId="0" xfId="1" applyNumberFormat="1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6" fillId="3" borderId="0" xfId="0" applyFont="1" applyFill="1" applyAlignment="1">
      <alignment horizontal="left"/>
    </xf>
    <xf numFmtId="164" fontId="6" fillId="3" borderId="0" xfId="0" applyNumberFormat="1" applyFont="1" applyFill="1" applyAlignment="1">
      <alignment horizontal="center" vertical="center" wrapText="1"/>
    </xf>
    <xf numFmtId="164" fontId="18" fillId="3" borderId="0" xfId="2" applyNumberFormat="1" applyFont="1" applyFill="1"/>
    <xf numFmtId="164" fontId="16" fillId="3" borderId="0" xfId="2" applyNumberFormat="1" applyFont="1" applyFill="1"/>
    <xf numFmtId="164" fontId="16" fillId="3" borderId="0" xfId="1" applyNumberFormat="1" applyFont="1" applyFill="1" applyAlignment="1">
      <alignment horizontal="center"/>
    </xf>
    <xf numFmtId="164" fontId="6" fillId="3" borderId="0" xfId="2" applyNumberFormat="1" applyFont="1" applyFill="1"/>
    <xf numFmtId="164" fontId="16" fillId="3" borderId="0" xfId="1" applyNumberFormat="1" applyFont="1" applyFill="1" applyAlignment="1">
      <alignment horizontal="left"/>
    </xf>
    <xf numFmtId="164" fontId="16" fillId="3" borderId="0" xfId="1" applyNumberFormat="1" applyFont="1" applyFill="1" applyAlignment="1">
      <alignment vertical="center"/>
    </xf>
    <xf numFmtId="0" fontId="16" fillId="3" borderId="0" xfId="0" applyFont="1" applyFill="1"/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9" fillId="3" borderId="0" xfId="0" applyFont="1" applyFill="1" applyAlignment="1">
      <alignment vertical="center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 vertical="center"/>
    </xf>
    <xf numFmtId="165" fontId="9" fillId="3" borderId="0" xfId="2" applyNumberFormat="1" applyFont="1" applyFill="1"/>
    <xf numFmtId="164" fontId="8" fillId="3" borderId="0" xfId="2" applyNumberFormat="1" applyFont="1" applyFill="1"/>
    <xf numFmtId="164" fontId="9" fillId="3" borderId="0" xfId="2" applyNumberFormat="1" applyFont="1" applyFill="1" applyAlignment="1">
      <alignment horizontal="left"/>
    </xf>
    <xf numFmtId="0" fontId="8" fillId="3" borderId="0" xfId="0" applyFont="1" applyFill="1"/>
    <xf numFmtId="164" fontId="8" fillId="3" borderId="0" xfId="1" applyNumberFormat="1" applyFont="1" applyFill="1"/>
    <xf numFmtId="164" fontId="15" fillId="3" borderId="0" xfId="1" applyNumberFormat="1" applyFont="1" applyFill="1" applyAlignment="1">
      <alignment horizontal="center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4" fillId="3" borderId="10" xfId="1" applyNumberFormat="1" applyFont="1" applyFill="1" applyBorder="1" applyAlignment="1">
      <alignment horizontal="center" vertical="center" wrapText="1"/>
    </xf>
    <xf numFmtId="164" fontId="14" fillId="3" borderId="10" xfId="1" applyNumberFormat="1" applyFont="1" applyFill="1" applyBorder="1" applyAlignment="1">
      <alignment vertical="center" wrapText="1"/>
    </xf>
    <xf numFmtId="164" fontId="19" fillId="3" borderId="1" xfId="2" applyNumberFormat="1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1" fontId="20" fillId="3" borderId="1" xfId="0" applyNumberFormat="1" applyFont="1" applyFill="1" applyBorder="1" applyAlignment="1">
      <alignment vertical="center"/>
    </xf>
    <xf numFmtId="1" fontId="21" fillId="3" borderId="1" xfId="0" applyNumberFormat="1" applyFont="1" applyFill="1" applyBorder="1" applyAlignment="1">
      <alignment vertical="center"/>
    </xf>
    <xf numFmtId="1" fontId="19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64" fontId="22" fillId="3" borderId="1" xfId="2" applyNumberFormat="1" applyFont="1" applyFill="1" applyBorder="1" applyAlignment="1">
      <alignment horizontal="center" vertical="center"/>
    </xf>
    <xf numFmtId="164" fontId="22" fillId="3" borderId="1" xfId="2" applyNumberFormat="1" applyFont="1" applyFill="1" applyBorder="1" applyAlignment="1">
      <alignment vertical="center"/>
    </xf>
    <xf numFmtId="165" fontId="22" fillId="3" borderId="1" xfId="2" applyNumberFormat="1" applyFont="1" applyFill="1" applyBorder="1" applyAlignment="1">
      <alignment vertical="center"/>
    </xf>
    <xf numFmtId="164" fontId="23" fillId="3" borderId="1" xfId="2" applyNumberFormat="1" applyFont="1" applyFill="1" applyBorder="1" applyAlignment="1">
      <alignment vertical="center"/>
    </xf>
    <xf numFmtId="164" fontId="22" fillId="3" borderId="1" xfId="2" applyNumberFormat="1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23" fillId="3" borderId="1" xfId="0" applyFont="1" applyFill="1" applyBorder="1" applyAlignment="1">
      <alignment vertical="center" wrapText="1"/>
    </xf>
    <xf numFmtId="164" fontId="23" fillId="3" borderId="0" xfId="1" applyNumberFormat="1" applyFont="1" applyFill="1" applyAlignment="1">
      <alignment vertical="center"/>
    </xf>
    <xf numFmtId="164" fontId="22" fillId="3" borderId="0" xfId="0" quotePrefix="1" applyNumberFormat="1" applyFont="1" applyFill="1" applyAlignment="1">
      <alignment vertical="center"/>
    </xf>
    <xf numFmtId="0" fontId="22" fillId="3" borderId="0" xfId="0" applyFont="1" applyFill="1" applyAlignment="1">
      <alignment vertical="center"/>
    </xf>
    <xf numFmtId="43" fontId="22" fillId="3" borderId="1" xfId="2" applyFont="1" applyFill="1" applyBorder="1" applyAlignment="1">
      <alignment vertical="center"/>
    </xf>
    <xf numFmtId="0" fontId="22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  <xf numFmtId="164" fontId="23" fillId="3" borderId="1" xfId="2" applyNumberFormat="1" applyFont="1" applyFill="1" applyBorder="1" applyAlignment="1">
      <alignment horizontal="center" vertical="center"/>
    </xf>
    <xf numFmtId="14" fontId="23" fillId="3" borderId="0" xfId="0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4" fontId="2" fillId="7" borderId="2" xfId="1" applyNumberFormat="1" applyFont="1" applyFill="1" applyBorder="1" applyAlignment="1">
      <alignment horizontal="center" vertical="center"/>
    </xf>
    <xf numFmtId="164" fontId="2" fillId="7" borderId="2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vertical="center" wrapText="1"/>
    </xf>
    <xf numFmtId="164" fontId="5" fillId="3" borderId="1" xfId="1" applyNumberFormat="1" applyFont="1" applyFill="1" applyBorder="1" applyAlignment="1">
      <alignment vertical="center" wrapText="1"/>
    </xf>
    <xf numFmtId="164" fontId="2" fillId="9" borderId="2" xfId="1" applyNumberFormat="1" applyFont="1" applyFill="1" applyBorder="1" applyAlignment="1">
      <alignment horizontal="center" vertical="center"/>
    </xf>
    <xf numFmtId="164" fontId="12" fillId="3" borderId="2" xfId="1" applyNumberFormat="1" applyFont="1" applyFill="1" applyBorder="1" applyAlignment="1">
      <alignment vertical="center"/>
    </xf>
    <xf numFmtId="164" fontId="12" fillId="3" borderId="1" xfId="1" applyNumberFormat="1" applyFont="1" applyFill="1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/>
    </xf>
    <xf numFmtId="0" fontId="0" fillId="0" borderId="7" xfId="0" applyBorder="1"/>
    <xf numFmtId="164" fontId="2" fillId="7" borderId="11" xfId="1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49" fontId="2" fillId="0" borderId="25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2" fillId="0" borderId="1" xfId="0" applyNumberFormat="1" applyFont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 wrapText="1"/>
    </xf>
    <xf numFmtId="164" fontId="7" fillId="0" borderId="10" xfId="1" applyNumberFormat="1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164" fontId="2" fillId="4" borderId="11" xfId="1" applyNumberFormat="1" applyFont="1" applyFill="1" applyBorder="1" applyAlignment="1">
      <alignment horizontal="center" vertical="center" wrapText="1"/>
    </xf>
    <xf numFmtId="164" fontId="7" fillId="3" borderId="10" xfId="1" applyNumberFormat="1" applyFont="1" applyFill="1" applyBorder="1" applyAlignment="1">
      <alignment horizontal="center" vertical="center" wrapText="1"/>
    </xf>
    <xf numFmtId="164" fontId="2" fillId="9" borderId="5" xfId="1" applyNumberFormat="1" applyFont="1" applyFill="1" applyBorder="1" applyAlignment="1">
      <alignment horizontal="center" vertical="center" wrapText="1"/>
    </xf>
    <xf numFmtId="164" fontId="7" fillId="3" borderId="2" xfId="1" applyNumberFormat="1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8" xfId="0" applyBorder="1"/>
    <xf numFmtId="164" fontId="2" fillId="9" borderId="16" xfId="1" applyNumberFormat="1" applyFont="1" applyFill="1" applyBorder="1" applyAlignment="1">
      <alignment horizontal="center" vertical="center" wrapText="1"/>
    </xf>
    <xf numFmtId="0" fontId="0" fillId="0" borderId="24" xfId="0" applyBorder="1"/>
    <xf numFmtId="164" fontId="2" fillId="4" borderId="16" xfId="1" applyNumberFormat="1" applyFont="1" applyFill="1" applyBorder="1" applyAlignment="1">
      <alignment horizontal="center" vertical="center" wrapText="1"/>
    </xf>
    <xf numFmtId="164" fontId="2" fillId="7" borderId="16" xfId="1" applyNumberFormat="1" applyFont="1" applyFill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/>
    </xf>
    <xf numFmtId="0" fontId="0" fillId="0" borderId="8" xfId="0" applyBorder="1"/>
    <xf numFmtId="49" fontId="2" fillId="0" borderId="19" xfId="0" applyNumberFormat="1" applyFont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4" xfId="0" applyBorder="1"/>
    <xf numFmtId="164" fontId="2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10" borderId="16" xfId="1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64" fontId="2" fillId="9" borderId="11" xfId="1" applyNumberFormat="1" applyFont="1" applyFill="1" applyBorder="1" applyAlignment="1">
      <alignment horizontal="center" vertical="center" wrapText="1"/>
    </xf>
    <xf numFmtId="164" fontId="10" fillId="3" borderId="10" xfId="1" applyNumberFormat="1" applyFont="1" applyFill="1" applyBorder="1" applyAlignment="1">
      <alignment horizontal="center" vertical="center" wrapText="1"/>
    </xf>
    <xf numFmtId="164" fontId="2" fillId="10" borderId="11" xfId="1" applyNumberFormat="1" applyFont="1" applyFill="1" applyBorder="1" applyAlignment="1">
      <alignment horizontal="center" vertical="center" wrapText="1"/>
    </xf>
    <xf numFmtId="164" fontId="16" fillId="3" borderId="0" xfId="1" applyNumberFormat="1" applyFont="1" applyFill="1" applyAlignment="1">
      <alignment horizontal="center" vertical="center"/>
    </xf>
    <xf numFmtId="0" fontId="6" fillId="3" borderId="0" xfId="0" applyFont="1" applyFill="1"/>
    <xf numFmtId="0" fontId="13" fillId="3" borderId="1" xfId="0" applyFont="1" applyFill="1" applyBorder="1" applyAlignment="1">
      <alignment horizontal="left" vertical="center"/>
    </xf>
    <xf numFmtId="164" fontId="13" fillId="3" borderId="1" xfId="2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/>
    </xf>
    <xf numFmtId="0" fontId="15" fillId="3" borderId="0" xfId="0" applyFont="1" applyFill="1" applyAlignment="1">
      <alignment horizontal="center" vertical="center"/>
    </xf>
    <xf numFmtId="164" fontId="15" fillId="3" borderId="0" xfId="2" applyNumberFormat="1" applyFont="1" applyFill="1"/>
    <xf numFmtId="165" fontId="15" fillId="3" borderId="0" xfId="2" applyNumberFormat="1" applyFont="1" applyFill="1"/>
    <xf numFmtId="164" fontId="13" fillId="3" borderId="0" xfId="2" applyNumberFormat="1" applyFont="1" applyFill="1"/>
    <xf numFmtId="164" fontId="15" fillId="3" borderId="0" xfId="2" applyNumberFormat="1" applyFont="1" applyFill="1" applyAlignment="1">
      <alignment horizontal="left"/>
    </xf>
    <xf numFmtId="0" fontId="13" fillId="3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164" fontId="13" fillId="3" borderId="1" xfId="2" applyNumberFormat="1" applyFont="1" applyFill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</cellXfs>
  <cellStyles count="3">
    <cellStyle name="Comma" xfId="2" builtinId="3"/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476252</xdr:colOff>
      <xdr:row>1</xdr:row>
      <xdr:rowOff>1</xdr:rowOff>
    </xdr:from>
    <xdr:to>
      <xdr:col>11</xdr:col>
      <xdr:colOff>1581</xdr:colOff>
      <xdr:row>4</xdr:row>
      <xdr:rowOff>21924</xdr:rowOff>
    </xdr:to>
    <xdr:pic>
      <xdr:nvPicPr>
        <xdr:cNvPr id="3" name="image1.jpg" descr="Logo chuẩn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55076" y="100854"/>
          <a:ext cx="597925" cy="448234"/>
        </a:xfrm>
        <a:prstGeom prst="rect">
          <a:avLst/>
        </a:prstGeom>
        <a:noFill/>
        <a:ln>
          <a:noFill/>
          <a:prstDash val="solid"/>
        </a:ln>
      </xdr:spPr>
    </xdr:pic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THPT%202026/L&#431;&#416;NG%20T02.2026%20THPT%20AVM/1.%20%20L&#432;&#417;ng%20nh&#226;n%20vi&#234;n%20T2.2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THPT%202026/L&#431;&#416;NG%20T02.2026%20THPT%20AVM/2.%20%20L&#432;&#417;ng%20c&#417;%20h&#7919;u%20T2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cũ"/>
      <sheetName val="chi tiết lương từng người "/>
      <sheetName val="Phuong- yên"/>
    </sheetNames>
    <sheetDataSet>
      <sheetData sheetId="0" refreshError="1"/>
      <sheetData sheetId="1" refreshError="1"/>
      <sheetData sheetId="2" refreshError="1">
        <row r="29">
          <cell r="C29">
            <v>1076923.076923077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ƯƠNG THUẾ  (chờ Lan Anh ktra)"/>
      <sheetName val=" LƯƠNG NỘI BỘ"/>
      <sheetName val="Cô HỒNG"/>
      <sheetName val="Th. MINH"/>
      <sheetName val="CÔ BAY"/>
      <sheetName val="C DIỄM"/>
      <sheetName val="Th. KHOA"/>
      <sheetName val="Th. KHIEM"/>
      <sheetName val="th. HIEN"/>
      <sheetName val="C. HAN"/>
      <sheetName val="C. THAO AV"/>
      <sheetName val="C. CHINH"/>
      <sheetName val="Cô TRANG"/>
      <sheetName val="T. ĐUC"/>
      <sheetName val="Cô OANH"/>
      <sheetName val="Cô THƯ"/>
      <sheetName val="C Kim A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B125"/>
  <sheetViews>
    <sheetView view="pageBreakPreview" zoomScale="115" zoomScaleNormal="100" zoomScaleSheetLayoutView="11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52" sqref="D52"/>
    </sheetView>
  </sheetViews>
  <sheetFormatPr defaultRowHeight="10.15" x14ac:dyDescent="0.3"/>
  <cols>
    <col min="1" max="1" width="3.5625" style="154" customWidth="1"/>
    <col min="2" max="2" width="17.3125" style="185" customWidth="1"/>
    <col min="3" max="3" width="7.4375" style="186" hidden="1" customWidth="1"/>
    <col min="4" max="4" width="8.5625" style="187" customWidth="1"/>
    <col min="5" max="5" width="6.3125" style="152" hidden="1" customWidth="1"/>
    <col min="6" max="6" width="9.125" style="169" customWidth="1"/>
    <col min="7" max="7" width="9.3125" style="169" customWidth="1"/>
    <col min="8" max="9" width="8.5625" style="169" customWidth="1"/>
    <col min="10" max="10" width="7.875" style="169" customWidth="1"/>
    <col min="11" max="11" width="8.3125" style="169" customWidth="1"/>
    <col min="12" max="12" width="5" style="188" customWidth="1"/>
    <col min="13" max="13" width="8.5625" style="169" customWidth="1"/>
    <col min="14" max="14" width="9.4375" style="189" customWidth="1"/>
    <col min="15" max="15" width="6.6875" style="169" customWidth="1"/>
    <col min="16" max="16" width="4.5625" style="188" customWidth="1"/>
    <col min="17" max="17" width="8.4375" style="169" customWidth="1"/>
    <col min="18" max="18" width="8.3125" style="190" customWidth="1"/>
    <col min="19" max="19" width="7.6875" style="169" customWidth="1"/>
    <col min="20" max="20" width="10.125" style="169" customWidth="1"/>
    <col min="21" max="21" width="9.125" style="186" customWidth="1"/>
    <col min="22" max="22" width="13.3125" style="186" customWidth="1"/>
    <col min="23" max="23" width="59.4375" style="191" customWidth="1"/>
    <col min="24" max="24" width="18" style="192" customWidth="1"/>
    <col min="25" max="25" width="21.4375" style="185" customWidth="1"/>
    <col min="26" max="26" width="5.4375" style="185" customWidth="1"/>
    <col min="27" max="28" width="9.125" style="185" customWidth="1"/>
    <col min="29" max="29" width="9.875" style="185" bestFit="1" customWidth="1"/>
    <col min="30" max="259" width="9.125" style="185" customWidth="1"/>
    <col min="260" max="260" width="4.3125" style="185" customWidth="1"/>
    <col min="261" max="261" width="23.125" style="185" customWidth="1"/>
    <col min="262" max="262" width="12.875" style="185" customWidth="1"/>
    <col min="263" max="263" width="14.875" style="185" customWidth="1"/>
    <col min="264" max="264" width="8.875" style="185" customWidth="1"/>
    <col min="265" max="265" width="13" style="185" hidden="1" customWidth="1"/>
    <col min="266" max="266" width="9.5625" style="185" customWidth="1"/>
    <col min="267" max="267" width="6.875" style="185" customWidth="1"/>
    <col min="268" max="268" width="13.6875" style="185" customWidth="1"/>
    <col min="269" max="269" width="13.125" style="185" customWidth="1"/>
    <col min="270" max="270" width="13.875" style="185" customWidth="1"/>
    <col min="271" max="271" width="13" style="185" hidden="1" customWidth="1"/>
    <col min="272" max="272" width="6" style="185" customWidth="1"/>
    <col min="273" max="273" width="13.5625" style="185" customWidth="1"/>
    <col min="274" max="276" width="13" style="185" hidden="1" customWidth="1"/>
    <col min="277" max="277" width="14.4375" style="185" customWidth="1"/>
    <col min="278" max="278" width="6.4375" style="185" customWidth="1"/>
    <col min="279" max="279" width="29" style="185" customWidth="1"/>
    <col min="280" max="280" width="18" style="185" customWidth="1"/>
    <col min="281" max="281" width="21.4375" style="185" customWidth="1"/>
    <col min="282" max="282" width="5.4375" style="185" customWidth="1"/>
    <col min="283" max="284" width="9.125" style="185" customWidth="1"/>
    <col min="285" max="285" width="9.875" style="185" bestFit="1" customWidth="1"/>
    <col min="286" max="515" width="9.125" style="185" customWidth="1"/>
    <col min="516" max="516" width="4.3125" style="185" customWidth="1"/>
    <col min="517" max="517" width="23.125" style="185" customWidth="1"/>
    <col min="518" max="518" width="12.875" style="185" customWidth="1"/>
    <col min="519" max="519" width="14.875" style="185" customWidth="1"/>
    <col min="520" max="520" width="8.875" style="185" customWidth="1"/>
    <col min="521" max="521" width="13" style="185" hidden="1" customWidth="1"/>
    <col min="522" max="522" width="9.5625" style="185" customWidth="1"/>
    <col min="523" max="523" width="6.875" style="185" customWidth="1"/>
    <col min="524" max="524" width="13.6875" style="185" customWidth="1"/>
    <col min="525" max="525" width="13.125" style="185" customWidth="1"/>
    <col min="526" max="526" width="13.875" style="185" customWidth="1"/>
    <col min="527" max="527" width="13" style="185" hidden="1" customWidth="1"/>
    <col min="528" max="528" width="6" style="185" customWidth="1"/>
    <col min="529" max="529" width="13.5625" style="185" customWidth="1"/>
    <col min="530" max="532" width="13" style="185" hidden="1" customWidth="1"/>
    <col min="533" max="533" width="14.4375" style="185" customWidth="1"/>
    <col min="534" max="534" width="6.4375" style="185" customWidth="1"/>
    <col min="535" max="535" width="29" style="185" customWidth="1"/>
    <col min="536" max="536" width="18" style="185" customWidth="1"/>
    <col min="537" max="537" width="21.4375" style="185" customWidth="1"/>
    <col min="538" max="538" width="5.4375" style="185" customWidth="1"/>
    <col min="539" max="540" width="9.125" style="185" customWidth="1"/>
    <col min="541" max="541" width="9.875" style="185" bestFit="1" customWidth="1"/>
    <col min="542" max="771" width="9.125" style="185" customWidth="1"/>
    <col min="772" max="772" width="4.3125" style="185" customWidth="1"/>
    <col min="773" max="773" width="23.125" style="185" customWidth="1"/>
    <col min="774" max="774" width="12.875" style="185" customWidth="1"/>
    <col min="775" max="775" width="14.875" style="185" customWidth="1"/>
    <col min="776" max="776" width="8.875" style="185" customWidth="1"/>
    <col min="777" max="777" width="13" style="185" hidden="1" customWidth="1"/>
    <col min="778" max="778" width="9.5625" style="185" customWidth="1"/>
    <col min="779" max="779" width="6.875" style="185" customWidth="1"/>
    <col min="780" max="780" width="13.6875" style="185" customWidth="1"/>
    <col min="781" max="781" width="13.125" style="185" customWidth="1"/>
    <col min="782" max="782" width="13.875" style="185" customWidth="1"/>
    <col min="783" max="783" width="13" style="185" hidden="1" customWidth="1"/>
    <col min="784" max="784" width="6" style="185" customWidth="1"/>
    <col min="785" max="785" width="13.5625" style="185" customWidth="1"/>
    <col min="786" max="788" width="13" style="185" hidden="1" customWidth="1"/>
    <col min="789" max="789" width="14.4375" style="185" customWidth="1"/>
    <col min="790" max="790" width="6.4375" style="185" customWidth="1"/>
    <col min="791" max="791" width="29" style="185" customWidth="1"/>
    <col min="792" max="792" width="18" style="185" customWidth="1"/>
    <col min="793" max="793" width="21.4375" style="185" customWidth="1"/>
    <col min="794" max="794" width="5.4375" style="185" customWidth="1"/>
    <col min="795" max="796" width="9.125" style="185" customWidth="1"/>
    <col min="797" max="797" width="9.875" style="185" bestFit="1" customWidth="1"/>
    <col min="798" max="1027" width="9.125" style="185" customWidth="1"/>
    <col min="1028" max="1028" width="4.3125" style="185" customWidth="1"/>
    <col min="1029" max="1029" width="23.125" style="185" customWidth="1"/>
    <col min="1030" max="1030" width="12.875" style="185" customWidth="1"/>
    <col min="1031" max="1031" width="14.875" style="185" customWidth="1"/>
    <col min="1032" max="1032" width="8.875" style="185" customWidth="1"/>
    <col min="1033" max="1033" width="13" style="185" hidden="1" customWidth="1"/>
    <col min="1034" max="1034" width="9.5625" style="185" customWidth="1"/>
    <col min="1035" max="1035" width="6.875" style="185" customWidth="1"/>
    <col min="1036" max="1036" width="13.6875" style="185" customWidth="1"/>
    <col min="1037" max="1037" width="13.125" style="185" customWidth="1"/>
    <col min="1038" max="1038" width="13.875" style="185" customWidth="1"/>
    <col min="1039" max="1039" width="13" style="185" hidden="1" customWidth="1"/>
    <col min="1040" max="1040" width="6" style="185" customWidth="1"/>
    <col min="1041" max="1041" width="13.5625" style="185" customWidth="1"/>
    <col min="1042" max="1044" width="13" style="185" hidden="1" customWidth="1"/>
    <col min="1045" max="1045" width="14.4375" style="185" customWidth="1"/>
    <col min="1046" max="1046" width="6.4375" style="185" customWidth="1"/>
    <col min="1047" max="1047" width="29" style="185" customWidth="1"/>
    <col min="1048" max="1048" width="18" style="185" customWidth="1"/>
    <col min="1049" max="1049" width="21.4375" style="185" customWidth="1"/>
    <col min="1050" max="1050" width="5.4375" style="185" customWidth="1"/>
    <col min="1051" max="1052" width="9.125" style="185" customWidth="1"/>
    <col min="1053" max="1053" width="9.875" style="185" bestFit="1" customWidth="1"/>
    <col min="1054" max="1283" width="9.125" style="185" customWidth="1"/>
    <col min="1284" max="1284" width="4.3125" style="185" customWidth="1"/>
    <col min="1285" max="1285" width="23.125" style="185" customWidth="1"/>
    <col min="1286" max="1286" width="12.875" style="185" customWidth="1"/>
    <col min="1287" max="1287" width="14.875" style="185" customWidth="1"/>
    <col min="1288" max="1288" width="8.875" style="185" customWidth="1"/>
    <col min="1289" max="1289" width="13" style="185" hidden="1" customWidth="1"/>
    <col min="1290" max="1290" width="9.5625" style="185" customWidth="1"/>
    <col min="1291" max="1291" width="6.875" style="185" customWidth="1"/>
    <col min="1292" max="1292" width="13.6875" style="185" customWidth="1"/>
    <col min="1293" max="1293" width="13.125" style="185" customWidth="1"/>
    <col min="1294" max="1294" width="13.875" style="185" customWidth="1"/>
    <col min="1295" max="1295" width="13" style="185" hidden="1" customWidth="1"/>
    <col min="1296" max="1296" width="6" style="185" customWidth="1"/>
    <col min="1297" max="1297" width="13.5625" style="185" customWidth="1"/>
    <col min="1298" max="1300" width="13" style="185" hidden="1" customWidth="1"/>
    <col min="1301" max="1301" width="14.4375" style="185" customWidth="1"/>
    <col min="1302" max="1302" width="6.4375" style="185" customWidth="1"/>
    <col min="1303" max="1303" width="29" style="185" customWidth="1"/>
    <col min="1304" max="1304" width="18" style="185" customWidth="1"/>
    <col min="1305" max="1305" width="21.4375" style="185" customWidth="1"/>
    <col min="1306" max="1306" width="5.4375" style="185" customWidth="1"/>
    <col min="1307" max="1308" width="9.125" style="185" customWidth="1"/>
    <col min="1309" max="1309" width="9.875" style="185" bestFit="1" customWidth="1"/>
    <col min="1310" max="1539" width="9.125" style="185" customWidth="1"/>
    <col min="1540" max="1540" width="4.3125" style="185" customWidth="1"/>
    <col min="1541" max="1541" width="23.125" style="185" customWidth="1"/>
    <col min="1542" max="1542" width="12.875" style="185" customWidth="1"/>
    <col min="1543" max="1543" width="14.875" style="185" customWidth="1"/>
    <col min="1544" max="1544" width="8.875" style="185" customWidth="1"/>
    <col min="1545" max="1545" width="13" style="185" hidden="1" customWidth="1"/>
    <col min="1546" max="1546" width="9.5625" style="185" customWidth="1"/>
    <col min="1547" max="1547" width="6.875" style="185" customWidth="1"/>
    <col min="1548" max="1548" width="13.6875" style="185" customWidth="1"/>
    <col min="1549" max="1549" width="13.125" style="185" customWidth="1"/>
    <col min="1550" max="1550" width="13.875" style="185" customWidth="1"/>
    <col min="1551" max="1551" width="13" style="185" hidden="1" customWidth="1"/>
    <col min="1552" max="1552" width="6" style="185" customWidth="1"/>
    <col min="1553" max="1553" width="13.5625" style="185" customWidth="1"/>
    <col min="1554" max="1556" width="13" style="185" hidden="1" customWidth="1"/>
    <col min="1557" max="1557" width="14.4375" style="185" customWidth="1"/>
    <col min="1558" max="1558" width="6.4375" style="185" customWidth="1"/>
    <col min="1559" max="1559" width="29" style="185" customWidth="1"/>
    <col min="1560" max="1560" width="18" style="185" customWidth="1"/>
    <col min="1561" max="1561" width="21.4375" style="185" customWidth="1"/>
    <col min="1562" max="1562" width="5.4375" style="185" customWidth="1"/>
    <col min="1563" max="1564" width="9.125" style="185" customWidth="1"/>
    <col min="1565" max="1565" width="9.875" style="185" bestFit="1" customWidth="1"/>
    <col min="1566" max="1795" width="9.125" style="185" customWidth="1"/>
    <col min="1796" max="1796" width="4.3125" style="185" customWidth="1"/>
    <col min="1797" max="1797" width="23.125" style="185" customWidth="1"/>
    <col min="1798" max="1798" width="12.875" style="185" customWidth="1"/>
    <col min="1799" max="1799" width="14.875" style="185" customWidth="1"/>
    <col min="1800" max="1800" width="8.875" style="185" customWidth="1"/>
    <col min="1801" max="1801" width="13" style="185" hidden="1" customWidth="1"/>
    <col min="1802" max="1802" width="9.5625" style="185" customWidth="1"/>
    <col min="1803" max="1803" width="6.875" style="185" customWidth="1"/>
    <col min="1804" max="1804" width="13.6875" style="185" customWidth="1"/>
    <col min="1805" max="1805" width="13.125" style="185" customWidth="1"/>
    <col min="1806" max="1806" width="13.875" style="185" customWidth="1"/>
    <col min="1807" max="1807" width="13" style="185" hidden="1" customWidth="1"/>
    <col min="1808" max="1808" width="6" style="185" customWidth="1"/>
    <col min="1809" max="1809" width="13.5625" style="185" customWidth="1"/>
    <col min="1810" max="1812" width="13" style="185" hidden="1" customWidth="1"/>
    <col min="1813" max="1813" width="14.4375" style="185" customWidth="1"/>
    <col min="1814" max="1814" width="6.4375" style="185" customWidth="1"/>
    <col min="1815" max="1815" width="29" style="185" customWidth="1"/>
    <col min="1816" max="1816" width="18" style="185" customWidth="1"/>
    <col min="1817" max="1817" width="21.4375" style="185" customWidth="1"/>
    <col min="1818" max="1818" width="5.4375" style="185" customWidth="1"/>
    <col min="1819" max="1820" width="9.125" style="185" customWidth="1"/>
    <col min="1821" max="1821" width="9.875" style="185" bestFit="1" customWidth="1"/>
    <col min="1822" max="2051" width="9.125" style="185" customWidth="1"/>
    <col min="2052" max="2052" width="4.3125" style="185" customWidth="1"/>
    <col min="2053" max="2053" width="23.125" style="185" customWidth="1"/>
    <col min="2054" max="2054" width="12.875" style="185" customWidth="1"/>
    <col min="2055" max="2055" width="14.875" style="185" customWidth="1"/>
    <col min="2056" max="2056" width="8.875" style="185" customWidth="1"/>
    <col min="2057" max="2057" width="13" style="185" hidden="1" customWidth="1"/>
    <col min="2058" max="2058" width="9.5625" style="185" customWidth="1"/>
    <col min="2059" max="2059" width="6.875" style="185" customWidth="1"/>
    <col min="2060" max="2060" width="13.6875" style="185" customWidth="1"/>
    <col min="2061" max="2061" width="13.125" style="185" customWidth="1"/>
    <col min="2062" max="2062" width="13.875" style="185" customWidth="1"/>
    <col min="2063" max="2063" width="13" style="185" hidden="1" customWidth="1"/>
    <col min="2064" max="2064" width="6" style="185" customWidth="1"/>
    <col min="2065" max="2065" width="13.5625" style="185" customWidth="1"/>
    <col min="2066" max="2068" width="13" style="185" hidden="1" customWidth="1"/>
    <col min="2069" max="2069" width="14.4375" style="185" customWidth="1"/>
    <col min="2070" max="2070" width="6.4375" style="185" customWidth="1"/>
    <col min="2071" max="2071" width="29" style="185" customWidth="1"/>
    <col min="2072" max="2072" width="18" style="185" customWidth="1"/>
    <col min="2073" max="2073" width="21.4375" style="185" customWidth="1"/>
    <col min="2074" max="2074" width="5.4375" style="185" customWidth="1"/>
    <col min="2075" max="2076" width="9.125" style="185" customWidth="1"/>
    <col min="2077" max="2077" width="9.875" style="185" bestFit="1" customWidth="1"/>
    <col min="2078" max="2307" width="9.125" style="185" customWidth="1"/>
    <col min="2308" max="2308" width="4.3125" style="185" customWidth="1"/>
    <col min="2309" max="2309" width="23.125" style="185" customWidth="1"/>
    <col min="2310" max="2310" width="12.875" style="185" customWidth="1"/>
    <col min="2311" max="2311" width="14.875" style="185" customWidth="1"/>
    <col min="2312" max="2312" width="8.875" style="185" customWidth="1"/>
    <col min="2313" max="2313" width="13" style="185" hidden="1" customWidth="1"/>
    <col min="2314" max="2314" width="9.5625" style="185" customWidth="1"/>
    <col min="2315" max="2315" width="6.875" style="185" customWidth="1"/>
    <col min="2316" max="2316" width="13.6875" style="185" customWidth="1"/>
    <col min="2317" max="2317" width="13.125" style="185" customWidth="1"/>
    <col min="2318" max="2318" width="13.875" style="185" customWidth="1"/>
    <col min="2319" max="2319" width="13" style="185" hidden="1" customWidth="1"/>
    <col min="2320" max="2320" width="6" style="185" customWidth="1"/>
    <col min="2321" max="2321" width="13.5625" style="185" customWidth="1"/>
    <col min="2322" max="2324" width="13" style="185" hidden="1" customWidth="1"/>
    <col min="2325" max="2325" width="14.4375" style="185" customWidth="1"/>
    <col min="2326" max="2326" width="6.4375" style="185" customWidth="1"/>
    <col min="2327" max="2327" width="29" style="185" customWidth="1"/>
    <col min="2328" max="2328" width="18" style="185" customWidth="1"/>
    <col min="2329" max="2329" width="21.4375" style="185" customWidth="1"/>
    <col min="2330" max="2330" width="5.4375" style="185" customWidth="1"/>
    <col min="2331" max="2332" width="9.125" style="185" customWidth="1"/>
    <col min="2333" max="2333" width="9.875" style="185" bestFit="1" customWidth="1"/>
    <col min="2334" max="2563" width="9.125" style="185" customWidth="1"/>
    <col min="2564" max="2564" width="4.3125" style="185" customWidth="1"/>
    <col min="2565" max="2565" width="23.125" style="185" customWidth="1"/>
    <col min="2566" max="2566" width="12.875" style="185" customWidth="1"/>
    <col min="2567" max="2567" width="14.875" style="185" customWidth="1"/>
    <col min="2568" max="2568" width="8.875" style="185" customWidth="1"/>
    <col min="2569" max="2569" width="13" style="185" hidden="1" customWidth="1"/>
    <col min="2570" max="2570" width="9.5625" style="185" customWidth="1"/>
    <col min="2571" max="2571" width="6.875" style="185" customWidth="1"/>
    <col min="2572" max="2572" width="13.6875" style="185" customWidth="1"/>
    <col min="2573" max="2573" width="13.125" style="185" customWidth="1"/>
    <col min="2574" max="2574" width="13.875" style="185" customWidth="1"/>
    <col min="2575" max="2575" width="13" style="185" hidden="1" customWidth="1"/>
    <col min="2576" max="2576" width="6" style="185" customWidth="1"/>
    <col min="2577" max="2577" width="13.5625" style="185" customWidth="1"/>
    <col min="2578" max="2580" width="13" style="185" hidden="1" customWidth="1"/>
    <col min="2581" max="2581" width="14.4375" style="185" customWidth="1"/>
    <col min="2582" max="2582" width="6.4375" style="185" customWidth="1"/>
    <col min="2583" max="2583" width="29" style="185" customWidth="1"/>
    <col min="2584" max="2584" width="18" style="185" customWidth="1"/>
    <col min="2585" max="2585" width="21.4375" style="185" customWidth="1"/>
    <col min="2586" max="2586" width="5.4375" style="185" customWidth="1"/>
    <col min="2587" max="2588" width="9.125" style="185" customWidth="1"/>
    <col min="2589" max="2589" width="9.875" style="185" bestFit="1" customWidth="1"/>
    <col min="2590" max="2819" width="9.125" style="185" customWidth="1"/>
    <col min="2820" max="2820" width="4.3125" style="185" customWidth="1"/>
    <col min="2821" max="2821" width="23.125" style="185" customWidth="1"/>
    <col min="2822" max="2822" width="12.875" style="185" customWidth="1"/>
    <col min="2823" max="2823" width="14.875" style="185" customWidth="1"/>
    <col min="2824" max="2824" width="8.875" style="185" customWidth="1"/>
    <col min="2825" max="2825" width="13" style="185" hidden="1" customWidth="1"/>
    <col min="2826" max="2826" width="9.5625" style="185" customWidth="1"/>
    <col min="2827" max="2827" width="6.875" style="185" customWidth="1"/>
    <col min="2828" max="2828" width="13.6875" style="185" customWidth="1"/>
    <col min="2829" max="2829" width="13.125" style="185" customWidth="1"/>
    <col min="2830" max="2830" width="13.875" style="185" customWidth="1"/>
    <col min="2831" max="2831" width="13" style="185" hidden="1" customWidth="1"/>
    <col min="2832" max="2832" width="6" style="185" customWidth="1"/>
    <col min="2833" max="2833" width="13.5625" style="185" customWidth="1"/>
    <col min="2834" max="2836" width="13" style="185" hidden="1" customWidth="1"/>
    <col min="2837" max="2837" width="14.4375" style="185" customWidth="1"/>
    <col min="2838" max="2838" width="6.4375" style="185" customWidth="1"/>
    <col min="2839" max="2839" width="29" style="185" customWidth="1"/>
    <col min="2840" max="2840" width="18" style="185" customWidth="1"/>
    <col min="2841" max="2841" width="21.4375" style="185" customWidth="1"/>
    <col min="2842" max="2842" width="5.4375" style="185" customWidth="1"/>
    <col min="2843" max="2844" width="9.125" style="185" customWidth="1"/>
    <col min="2845" max="2845" width="9.875" style="185" bestFit="1" customWidth="1"/>
    <col min="2846" max="3075" width="9.125" style="185" customWidth="1"/>
    <col min="3076" max="3076" width="4.3125" style="185" customWidth="1"/>
    <col min="3077" max="3077" width="23.125" style="185" customWidth="1"/>
    <col min="3078" max="3078" width="12.875" style="185" customWidth="1"/>
    <col min="3079" max="3079" width="14.875" style="185" customWidth="1"/>
    <col min="3080" max="3080" width="8.875" style="185" customWidth="1"/>
    <col min="3081" max="3081" width="13" style="185" hidden="1" customWidth="1"/>
    <col min="3082" max="3082" width="9.5625" style="185" customWidth="1"/>
    <col min="3083" max="3083" width="6.875" style="185" customWidth="1"/>
    <col min="3084" max="3084" width="13.6875" style="185" customWidth="1"/>
    <col min="3085" max="3085" width="13.125" style="185" customWidth="1"/>
    <col min="3086" max="3086" width="13.875" style="185" customWidth="1"/>
    <col min="3087" max="3087" width="13" style="185" hidden="1" customWidth="1"/>
    <col min="3088" max="3088" width="6" style="185" customWidth="1"/>
    <col min="3089" max="3089" width="13.5625" style="185" customWidth="1"/>
    <col min="3090" max="3092" width="13" style="185" hidden="1" customWidth="1"/>
    <col min="3093" max="3093" width="14.4375" style="185" customWidth="1"/>
    <col min="3094" max="3094" width="6.4375" style="185" customWidth="1"/>
    <col min="3095" max="3095" width="29" style="185" customWidth="1"/>
    <col min="3096" max="3096" width="18" style="185" customWidth="1"/>
    <col min="3097" max="3097" width="21.4375" style="185" customWidth="1"/>
    <col min="3098" max="3098" width="5.4375" style="185" customWidth="1"/>
    <col min="3099" max="3100" width="9.125" style="185" customWidth="1"/>
    <col min="3101" max="3101" width="9.875" style="185" bestFit="1" customWidth="1"/>
    <col min="3102" max="3331" width="9.125" style="185" customWidth="1"/>
    <col min="3332" max="3332" width="4.3125" style="185" customWidth="1"/>
    <col min="3333" max="3333" width="23.125" style="185" customWidth="1"/>
    <col min="3334" max="3334" width="12.875" style="185" customWidth="1"/>
    <col min="3335" max="3335" width="14.875" style="185" customWidth="1"/>
    <col min="3336" max="3336" width="8.875" style="185" customWidth="1"/>
    <col min="3337" max="3337" width="13" style="185" hidden="1" customWidth="1"/>
    <col min="3338" max="3338" width="9.5625" style="185" customWidth="1"/>
    <col min="3339" max="3339" width="6.875" style="185" customWidth="1"/>
    <col min="3340" max="3340" width="13.6875" style="185" customWidth="1"/>
    <col min="3341" max="3341" width="13.125" style="185" customWidth="1"/>
    <col min="3342" max="3342" width="13.875" style="185" customWidth="1"/>
    <col min="3343" max="3343" width="13" style="185" hidden="1" customWidth="1"/>
    <col min="3344" max="3344" width="6" style="185" customWidth="1"/>
    <col min="3345" max="3345" width="13.5625" style="185" customWidth="1"/>
    <col min="3346" max="3348" width="13" style="185" hidden="1" customWidth="1"/>
    <col min="3349" max="3349" width="14.4375" style="185" customWidth="1"/>
    <col min="3350" max="3350" width="6.4375" style="185" customWidth="1"/>
    <col min="3351" max="3351" width="29" style="185" customWidth="1"/>
    <col min="3352" max="3352" width="18" style="185" customWidth="1"/>
    <col min="3353" max="3353" width="21.4375" style="185" customWidth="1"/>
    <col min="3354" max="3354" width="5.4375" style="185" customWidth="1"/>
    <col min="3355" max="3356" width="9.125" style="185" customWidth="1"/>
    <col min="3357" max="3357" width="9.875" style="185" bestFit="1" customWidth="1"/>
    <col min="3358" max="3587" width="9.125" style="185" customWidth="1"/>
    <col min="3588" max="3588" width="4.3125" style="185" customWidth="1"/>
    <col min="3589" max="3589" width="23.125" style="185" customWidth="1"/>
    <col min="3590" max="3590" width="12.875" style="185" customWidth="1"/>
    <col min="3591" max="3591" width="14.875" style="185" customWidth="1"/>
    <col min="3592" max="3592" width="8.875" style="185" customWidth="1"/>
    <col min="3593" max="3593" width="13" style="185" hidden="1" customWidth="1"/>
    <col min="3594" max="3594" width="9.5625" style="185" customWidth="1"/>
    <col min="3595" max="3595" width="6.875" style="185" customWidth="1"/>
    <col min="3596" max="3596" width="13.6875" style="185" customWidth="1"/>
    <col min="3597" max="3597" width="13.125" style="185" customWidth="1"/>
    <col min="3598" max="3598" width="13.875" style="185" customWidth="1"/>
    <col min="3599" max="3599" width="13" style="185" hidden="1" customWidth="1"/>
    <col min="3600" max="3600" width="6" style="185" customWidth="1"/>
    <col min="3601" max="3601" width="13.5625" style="185" customWidth="1"/>
    <col min="3602" max="3604" width="13" style="185" hidden="1" customWidth="1"/>
    <col min="3605" max="3605" width="14.4375" style="185" customWidth="1"/>
    <col min="3606" max="3606" width="6.4375" style="185" customWidth="1"/>
    <col min="3607" max="3607" width="29" style="185" customWidth="1"/>
    <col min="3608" max="3608" width="18" style="185" customWidth="1"/>
    <col min="3609" max="3609" width="21.4375" style="185" customWidth="1"/>
    <col min="3610" max="3610" width="5.4375" style="185" customWidth="1"/>
    <col min="3611" max="3612" width="9.125" style="185" customWidth="1"/>
    <col min="3613" max="3613" width="9.875" style="185" bestFit="1" customWidth="1"/>
    <col min="3614" max="3843" width="9.125" style="185" customWidth="1"/>
    <col min="3844" max="3844" width="4.3125" style="185" customWidth="1"/>
    <col min="3845" max="3845" width="23.125" style="185" customWidth="1"/>
    <col min="3846" max="3846" width="12.875" style="185" customWidth="1"/>
    <col min="3847" max="3847" width="14.875" style="185" customWidth="1"/>
    <col min="3848" max="3848" width="8.875" style="185" customWidth="1"/>
    <col min="3849" max="3849" width="13" style="185" hidden="1" customWidth="1"/>
    <col min="3850" max="3850" width="9.5625" style="185" customWidth="1"/>
    <col min="3851" max="3851" width="6.875" style="185" customWidth="1"/>
    <col min="3852" max="3852" width="13.6875" style="185" customWidth="1"/>
    <col min="3853" max="3853" width="13.125" style="185" customWidth="1"/>
    <col min="3854" max="3854" width="13.875" style="185" customWidth="1"/>
    <col min="3855" max="3855" width="13" style="185" hidden="1" customWidth="1"/>
    <col min="3856" max="3856" width="6" style="185" customWidth="1"/>
    <col min="3857" max="3857" width="13.5625" style="185" customWidth="1"/>
    <col min="3858" max="3860" width="13" style="185" hidden="1" customWidth="1"/>
    <col min="3861" max="3861" width="14.4375" style="185" customWidth="1"/>
    <col min="3862" max="3862" width="6.4375" style="185" customWidth="1"/>
    <col min="3863" max="3863" width="29" style="185" customWidth="1"/>
    <col min="3864" max="3864" width="18" style="185" customWidth="1"/>
    <col min="3865" max="3865" width="21.4375" style="185" customWidth="1"/>
    <col min="3866" max="3866" width="5.4375" style="185" customWidth="1"/>
    <col min="3867" max="3868" width="9.125" style="185" customWidth="1"/>
    <col min="3869" max="3869" width="9.875" style="185" bestFit="1" customWidth="1"/>
    <col min="3870" max="4099" width="9.125" style="185" customWidth="1"/>
    <col min="4100" max="4100" width="4.3125" style="185" customWidth="1"/>
    <col min="4101" max="4101" width="23.125" style="185" customWidth="1"/>
    <col min="4102" max="4102" width="12.875" style="185" customWidth="1"/>
    <col min="4103" max="4103" width="14.875" style="185" customWidth="1"/>
    <col min="4104" max="4104" width="8.875" style="185" customWidth="1"/>
    <col min="4105" max="4105" width="13" style="185" hidden="1" customWidth="1"/>
    <col min="4106" max="4106" width="9.5625" style="185" customWidth="1"/>
    <col min="4107" max="4107" width="6.875" style="185" customWidth="1"/>
    <col min="4108" max="4108" width="13.6875" style="185" customWidth="1"/>
    <col min="4109" max="4109" width="13.125" style="185" customWidth="1"/>
    <col min="4110" max="4110" width="13.875" style="185" customWidth="1"/>
    <col min="4111" max="4111" width="13" style="185" hidden="1" customWidth="1"/>
    <col min="4112" max="4112" width="6" style="185" customWidth="1"/>
    <col min="4113" max="4113" width="13.5625" style="185" customWidth="1"/>
    <col min="4114" max="4116" width="13" style="185" hidden="1" customWidth="1"/>
    <col min="4117" max="4117" width="14.4375" style="185" customWidth="1"/>
    <col min="4118" max="4118" width="6.4375" style="185" customWidth="1"/>
    <col min="4119" max="4119" width="29" style="185" customWidth="1"/>
    <col min="4120" max="4120" width="18" style="185" customWidth="1"/>
    <col min="4121" max="4121" width="21.4375" style="185" customWidth="1"/>
    <col min="4122" max="4122" width="5.4375" style="185" customWidth="1"/>
    <col min="4123" max="4124" width="9.125" style="185" customWidth="1"/>
    <col min="4125" max="4125" width="9.875" style="185" bestFit="1" customWidth="1"/>
    <col min="4126" max="4355" width="9.125" style="185" customWidth="1"/>
    <col min="4356" max="4356" width="4.3125" style="185" customWidth="1"/>
    <col min="4357" max="4357" width="23.125" style="185" customWidth="1"/>
    <col min="4358" max="4358" width="12.875" style="185" customWidth="1"/>
    <col min="4359" max="4359" width="14.875" style="185" customWidth="1"/>
    <col min="4360" max="4360" width="8.875" style="185" customWidth="1"/>
    <col min="4361" max="4361" width="13" style="185" hidden="1" customWidth="1"/>
    <col min="4362" max="4362" width="9.5625" style="185" customWidth="1"/>
    <col min="4363" max="4363" width="6.875" style="185" customWidth="1"/>
    <col min="4364" max="4364" width="13.6875" style="185" customWidth="1"/>
    <col min="4365" max="4365" width="13.125" style="185" customWidth="1"/>
    <col min="4366" max="4366" width="13.875" style="185" customWidth="1"/>
    <col min="4367" max="4367" width="13" style="185" hidden="1" customWidth="1"/>
    <col min="4368" max="4368" width="6" style="185" customWidth="1"/>
    <col min="4369" max="4369" width="13.5625" style="185" customWidth="1"/>
    <col min="4370" max="4372" width="13" style="185" hidden="1" customWidth="1"/>
    <col min="4373" max="4373" width="14.4375" style="185" customWidth="1"/>
    <col min="4374" max="4374" width="6.4375" style="185" customWidth="1"/>
    <col min="4375" max="4375" width="29" style="185" customWidth="1"/>
    <col min="4376" max="4376" width="18" style="185" customWidth="1"/>
    <col min="4377" max="4377" width="21.4375" style="185" customWidth="1"/>
    <col min="4378" max="4378" width="5.4375" style="185" customWidth="1"/>
    <col min="4379" max="4380" width="9.125" style="185" customWidth="1"/>
    <col min="4381" max="4381" width="9.875" style="185" bestFit="1" customWidth="1"/>
    <col min="4382" max="4611" width="9.125" style="185" customWidth="1"/>
    <col min="4612" max="4612" width="4.3125" style="185" customWidth="1"/>
    <col min="4613" max="4613" width="23.125" style="185" customWidth="1"/>
    <col min="4614" max="4614" width="12.875" style="185" customWidth="1"/>
    <col min="4615" max="4615" width="14.875" style="185" customWidth="1"/>
    <col min="4616" max="4616" width="8.875" style="185" customWidth="1"/>
    <col min="4617" max="4617" width="13" style="185" hidden="1" customWidth="1"/>
    <col min="4618" max="4618" width="9.5625" style="185" customWidth="1"/>
    <col min="4619" max="4619" width="6.875" style="185" customWidth="1"/>
    <col min="4620" max="4620" width="13.6875" style="185" customWidth="1"/>
    <col min="4621" max="4621" width="13.125" style="185" customWidth="1"/>
    <col min="4622" max="4622" width="13.875" style="185" customWidth="1"/>
    <col min="4623" max="4623" width="13" style="185" hidden="1" customWidth="1"/>
    <col min="4624" max="4624" width="6" style="185" customWidth="1"/>
    <col min="4625" max="4625" width="13.5625" style="185" customWidth="1"/>
    <col min="4626" max="4628" width="13" style="185" hidden="1" customWidth="1"/>
    <col min="4629" max="4629" width="14.4375" style="185" customWidth="1"/>
    <col min="4630" max="4630" width="6.4375" style="185" customWidth="1"/>
    <col min="4631" max="4631" width="29" style="185" customWidth="1"/>
    <col min="4632" max="4632" width="18" style="185" customWidth="1"/>
    <col min="4633" max="4633" width="21.4375" style="185" customWidth="1"/>
    <col min="4634" max="4634" width="5.4375" style="185" customWidth="1"/>
    <col min="4635" max="4636" width="9.125" style="185" customWidth="1"/>
    <col min="4637" max="4637" width="9.875" style="185" bestFit="1" customWidth="1"/>
    <col min="4638" max="4867" width="9.125" style="185" customWidth="1"/>
    <col min="4868" max="4868" width="4.3125" style="185" customWidth="1"/>
    <col min="4869" max="4869" width="23.125" style="185" customWidth="1"/>
    <col min="4870" max="4870" width="12.875" style="185" customWidth="1"/>
    <col min="4871" max="4871" width="14.875" style="185" customWidth="1"/>
    <col min="4872" max="4872" width="8.875" style="185" customWidth="1"/>
    <col min="4873" max="4873" width="13" style="185" hidden="1" customWidth="1"/>
    <col min="4874" max="4874" width="9.5625" style="185" customWidth="1"/>
    <col min="4875" max="4875" width="6.875" style="185" customWidth="1"/>
    <col min="4876" max="4876" width="13.6875" style="185" customWidth="1"/>
    <col min="4877" max="4877" width="13.125" style="185" customWidth="1"/>
    <col min="4878" max="4878" width="13.875" style="185" customWidth="1"/>
    <col min="4879" max="4879" width="13" style="185" hidden="1" customWidth="1"/>
    <col min="4880" max="4880" width="6" style="185" customWidth="1"/>
    <col min="4881" max="4881" width="13.5625" style="185" customWidth="1"/>
    <col min="4882" max="4884" width="13" style="185" hidden="1" customWidth="1"/>
    <col min="4885" max="4885" width="14.4375" style="185" customWidth="1"/>
    <col min="4886" max="4886" width="6.4375" style="185" customWidth="1"/>
    <col min="4887" max="4887" width="29" style="185" customWidth="1"/>
    <col min="4888" max="4888" width="18" style="185" customWidth="1"/>
    <col min="4889" max="4889" width="21.4375" style="185" customWidth="1"/>
    <col min="4890" max="4890" width="5.4375" style="185" customWidth="1"/>
    <col min="4891" max="4892" width="9.125" style="185" customWidth="1"/>
    <col min="4893" max="4893" width="9.875" style="185" bestFit="1" customWidth="1"/>
    <col min="4894" max="5123" width="9.125" style="185" customWidth="1"/>
    <col min="5124" max="5124" width="4.3125" style="185" customWidth="1"/>
    <col min="5125" max="5125" width="23.125" style="185" customWidth="1"/>
    <col min="5126" max="5126" width="12.875" style="185" customWidth="1"/>
    <col min="5127" max="5127" width="14.875" style="185" customWidth="1"/>
    <col min="5128" max="5128" width="8.875" style="185" customWidth="1"/>
    <col min="5129" max="5129" width="13" style="185" hidden="1" customWidth="1"/>
    <col min="5130" max="5130" width="9.5625" style="185" customWidth="1"/>
    <col min="5131" max="5131" width="6.875" style="185" customWidth="1"/>
    <col min="5132" max="5132" width="13.6875" style="185" customWidth="1"/>
    <col min="5133" max="5133" width="13.125" style="185" customWidth="1"/>
    <col min="5134" max="5134" width="13.875" style="185" customWidth="1"/>
    <col min="5135" max="5135" width="13" style="185" hidden="1" customWidth="1"/>
    <col min="5136" max="5136" width="6" style="185" customWidth="1"/>
    <col min="5137" max="5137" width="13.5625" style="185" customWidth="1"/>
    <col min="5138" max="5140" width="13" style="185" hidden="1" customWidth="1"/>
    <col min="5141" max="5141" width="14.4375" style="185" customWidth="1"/>
    <col min="5142" max="5142" width="6.4375" style="185" customWidth="1"/>
    <col min="5143" max="5143" width="29" style="185" customWidth="1"/>
    <col min="5144" max="5144" width="18" style="185" customWidth="1"/>
    <col min="5145" max="5145" width="21.4375" style="185" customWidth="1"/>
    <col min="5146" max="5146" width="5.4375" style="185" customWidth="1"/>
    <col min="5147" max="5148" width="9.125" style="185" customWidth="1"/>
    <col min="5149" max="5149" width="9.875" style="185" bestFit="1" customWidth="1"/>
    <col min="5150" max="5379" width="9.125" style="185" customWidth="1"/>
    <col min="5380" max="5380" width="4.3125" style="185" customWidth="1"/>
    <col min="5381" max="5381" width="23.125" style="185" customWidth="1"/>
    <col min="5382" max="5382" width="12.875" style="185" customWidth="1"/>
    <col min="5383" max="5383" width="14.875" style="185" customWidth="1"/>
    <col min="5384" max="5384" width="8.875" style="185" customWidth="1"/>
    <col min="5385" max="5385" width="13" style="185" hidden="1" customWidth="1"/>
    <col min="5386" max="5386" width="9.5625" style="185" customWidth="1"/>
    <col min="5387" max="5387" width="6.875" style="185" customWidth="1"/>
    <col min="5388" max="5388" width="13.6875" style="185" customWidth="1"/>
    <col min="5389" max="5389" width="13.125" style="185" customWidth="1"/>
    <col min="5390" max="5390" width="13.875" style="185" customWidth="1"/>
    <col min="5391" max="5391" width="13" style="185" hidden="1" customWidth="1"/>
    <col min="5392" max="5392" width="6" style="185" customWidth="1"/>
    <col min="5393" max="5393" width="13.5625" style="185" customWidth="1"/>
    <col min="5394" max="5396" width="13" style="185" hidden="1" customWidth="1"/>
    <col min="5397" max="5397" width="14.4375" style="185" customWidth="1"/>
    <col min="5398" max="5398" width="6.4375" style="185" customWidth="1"/>
    <col min="5399" max="5399" width="29" style="185" customWidth="1"/>
    <col min="5400" max="5400" width="18" style="185" customWidth="1"/>
    <col min="5401" max="5401" width="21.4375" style="185" customWidth="1"/>
    <col min="5402" max="5402" width="5.4375" style="185" customWidth="1"/>
    <col min="5403" max="5404" width="9.125" style="185" customWidth="1"/>
    <col min="5405" max="5405" width="9.875" style="185" bestFit="1" customWidth="1"/>
    <col min="5406" max="5635" width="9.125" style="185" customWidth="1"/>
    <col min="5636" max="5636" width="4.3125" style="185" customWidth="1"/>
    <col min="5637" max="5637" width="23.125" style="185" customWidth="1"/>
    <col min="5638" max="5638" width="12.875" style="185" customWidth="1"/>
    <col min="5639" max="5639" width="14.875" style="185" customWidth="1"/>
    <col min="5640" max="5640" width="8.875" style="185" customWidth="1"/>
    <col min="5641" max="5641" width="13" style="185" hidden="1" customWidth="1"/>
    <col min="5642" max="5642" width="9.5625" style="185" customWidth="1"/>
    <col min="5643" max="5643" width="6.875" style="185" customWidth="1"/>
    <col min="5644" max="5644" width="13.6875" style="185" customWidth="1"/>
    <col min="5645" max="5645" width="13.125" style="185" customWidth="1"/>
    <col min="5646" max="5646" width="13.875" style="185" customWidth="1"/>
    <col min="5647" max="5647" width="13" style="185" hidden="1" customWidth="1"/>
    <col min="5648" max="5648" width="6" style="185" customWidth="1"/>
    <col min="5649" max="5649" width="13.5625" style="185" customWidth="1"/>
    <col min="5650" max="5652" width="13" style="185" hidden="1" customWidth="1"/>
    <col min="5653" max="5653" width="14.4375" style="185" customWidth="1"/>
    <col min="5654" max="5654" width="6.4375" style="185" customWidth="1"/>
    <col min="5655" max="5655" width="29" style="185" customWidth="1"/>
    <col min="5656" max="5656" width="18" style="185" customWidth="1"/>
    <col min="5657" max="5657" width="21.4375" style="185" customWidth="1"/>
    <col min="5658" max="5658" width="5.4375" style="185" customWidth="1"/>
    <col min="5659" max="5660" width="9.125" style="185" customWidth="1"/>
    <col min="5661" max="5661" width="9.875" style="185" bestFit="1" customWidth="1"/>
    <col min="5662" max="5891" width="9.125" style="185" customWidth="1"/>
    <col min="5892" max="5892" width="4.3125" style="185" customWidth="1"/>
    <col min="5893" max="5893" width="23.125" style="185" customWidth="1"/>
    <col min="5894" max="5894" width="12.875" style="185" customWidth="1"/>
    <col min="5895" max="5895" width="14.875" style="185" customWidth="1"/>
    <col min="5896" max="5896" width="8.875" style="185" customWidth="1"/>
    <col min="5897" max="5897" width="13" style="185" hidden="1" customWidth="1"/>
    <col min="5898" max="5898" width="9.5625" style="185" customWidth="1"/>
    <col min="5899" max="5899" width="6.875" style="185" customWidth="1"/>
    <col min="5900" max="5900" width="13.6875" style="185" customWidth="1"/>
    <col min="5901" max="5901" width="13.125" style="185" customWidth="1"/>
    <col min="5902" max="5902" width="13.875" style="185" customWidth="1"/>
    <col min="5903" max="5903" width="13" style="185" hidden="1" customWidth="1"/>
    <col min="5904" max="5904" width="6" style="185" customWidth="1"/>
    <col min="5905" max="5905" width="13.5625" style="185" customWidth="1"/>
    <col min="5906" max="5908" width="13" style="185" hidden="1" customWidth="1"/>
    <col min="5909" max="5909" width="14.4375" style="185" customWidth="1"/>
    <col min="5910" max="5910" width="6.4375" style="185" customWidth="1"/>
    <col min="5911" max="5911" width="29" style="185" customWidth="1"/>
    <col min="5912" max="5912" width="18" style="185" customWidth="1"/>
    <col min="5913" max="5913" width="21.4375" style="185" customWidth="1"/>
    <col min="5914" max="5914" width="5.4375" style="185" customWidth="1"/>
    <col min="5915" max="5916" width="9.125" style="185" customWidth="1"/>
    <col min="5917" max="5917" width="9.875" style="185" bestFit="1" customWidth="1"/>
    <col min="5918" max="6147" width="9.125" style="185" customWidth="1"/>
    <col min="6148" max="6148" width="4.3125" style="185" customWidth="1"/>
    <col min="6149" max="6149" width="23.125" style="185" customWidth="1"/>
    <col min="6150" max="6150" width="12.875" style="185" customWidth="1"/>
    <col min="6151" max="6151" width="14.875" style="185" customWidth="1"/>
    <col min="6152" max="6152" width="8.875" style="185" customWidth="1"/>
    <col min="6153" max="6153" width="13" style="185" hidden="1" customWidth="1"/>
    <col min="6154" max="6154" width="9.5625" style="185" customWidth="1"/>
    <col min="6155" max="6155" width="6.875" style="185" customWidth="1"/>
    <col min="6156" max="6156" width="13.6875" style="185" customWidth="1"/>
    <col min="6157" max="6157" width="13.125" style="185" customWidth="1"/>
    <col min="6158" max="6158" width="13.875" style="185" customWidth="1"/>
    <col min="6159" max="6159" width="13" style="185" hidden="1" customWidth="1"/>
    <col min="6160" max="6160" width="6" style="185" customWidth="1"/>
    <col min="6161" max="6161" width="13.5625" style="185" customWidth="1"/>
    <col min="6162" max="6164" width="13" style="185" hidden="1" customWidth="1"/>
    <col min="6165" max="6165" width="14.4375" style="185" customWidth="1"/>
    <col min="6166" max="6166" width="6.4375" style="185" customWidth="1"/>
    <col min="6167" max="6167" width="29" style="185" customWidth="1"/>
    <col min="6168" max="6168" width="18" style="185" customWidth="1"/>
    <col min="6169" max="6169" width="21.4375" style="185" customWidth="1"/>
    <col min="6170" max="6170" width="5.4375" style="185" customWidth="1"/>
    <col min="6171" max="6172" width="9.125" style="185" customWidth="1"/>
    <col min="6173" max="6173" width="9.875" style="185" bestFit="1" customWidth="1"/>
    <col min="6174" max="6403" width="9.125" style="185" customWidth="1"/>
    <col min="6404" max="6404" width="4.3125" style="185" customWidth="1"/>
    <col min="6405" max="6405" width="23.125" style="185" customWidth="1"/>
    <col min="6406" max="6406" width="12.875" style="185" customWidth="1"/>
    <col min="6407" max="6407" width="14.875" style="185" customWidth="1"/>
    <col min="6408" max="6408" width="8.875" style="185" customWidth="1"/>
    <col min="6409" max="6409" width="13" style="185" hidden="1" customWidth="1"/>
    <col min="6410" max="6410" width="9.5625" style="185" customWidth="1"/>
    <col min="6411" max="6411" width="6.875" style="185" customWidth="1"/>
    <col min="6412" max="6412" width="13.6875" style="185" customWidth="1"/>
    <col min="6413" max="6413" width="13.125" style="185" customWidth="1"/>
    <col min="6414" max="6414" width="13.875" style="185" customWidth="1"/>
    <col min="6415" max="6415" width="13" style="185" hidden="1" customWidth="1"/>
    <col min="6416" max="6416" width="6" style="185" customWidth="1"/>
    <col min="6417" max="6417" width="13.5625" style="185" customWidth="1"/>
    <col min="6418" max="6420" width="13" style="185" hidden="1" customWidth="1"/>
    <col min="6421" max="6421" width="14.4375" style="185" customWidth="1"/>
    <col min="6422" max="6422" width="6.4375" style="185" customWidth="1"/>
    <col min="6423" max="6423" width="29" style="185" customWidth="1"/>
    <col min="6424" max="6424" width="18" style="185" customWidth="1"/>
    <col min="6425" max="6425" width="21.4375" style="185" customWidth="1"/>
    <col min="6426" max="6426" width="5.4375" style="185" customWidth="1"/>
    <col min="6427" max="6428" width="9.125" style="185" customWidth="1"/>
    <col min="6429" max="6429" width="9.875" style="185" bestFit="1" customWidth="1"/>
    <col min="6430" max="6659" width="9.125" style="185" customWidth="1"/>
    <col min="6660" max="6660" width="4.3125" style="185" customWidth="1"/>
    <col min="6661" max="6661" width="23.125" style="185" customWidth="1"/>
    <col min="6662" max="6662" width="12.875" style="185" customWidth="1"/>
    <col min="6663" max="6663" width="14.875" style="185" customWidth="1"/>
    <col min="6664" max="6664" width="8.875" style="185" customWidth="1"/>
    <col min="6665" max="6665" width="13" style="185" hidden="1" customWidth="1"/>
    <col min="6666" max="6666" width="9.5625" style="185" customWidth="1"/>
    <col min="6667" max="6667" width="6.875" style="185" customWidth="1"/>
    <col min="6668" max="6668" width="13.6875" style="185" customWidth="1"/>
    <col min="6669" max="6669" width="13.125" style="185" customWidth="1"/>
    <col min="6670" max="6670" width="13.875" style="185" customWidth="1"/>
    <col min="6671" max="6671" width="13" style="185" hidden="1" customWidth="1"/>
    <col min="6672" max="6672" width="6" style="185" customWidth="1"/>
    <col min="6673" max="6673" width="13.5625" style="185" customWidth="1"/>
    <col min="6674" max="6676" width="13" style="185" hidden="1" customWidth="1"/>
    <col min="6677" max="6677" width="14.4375" style="185" customWidth="1"/>
    <col min="6678" max="6678" width="6.4375" style="185" customWidth="1"/>
    <col min="6679" max="6679" width="29" style="185" customWidth="1"/>
    <col min="6680" max="6680" width="18" style="185" customWidth="1"/>
    <col min="6681" max="6681" width="21.4375" style="185" customWidth="1"/>
    <col min="6682" max="6682" width="5.4375" style="185" customWidth="1"/>
    <col min="6683" max="6684" width="9.125" style="185" customWidth="1"/>
    <col min="6685" max="6685" width="9.875" style="185" bestFit="1" customWidth="1"/>
    <col min="6686" max="6915" width="9.125" style="185" customWidth="1"/>
    <col min="6916" max="6916" width="4.3125" style="185" customWidth="1"/>
    <col min="6917" max="6917" width="23.125" style="185" customWidth="1"/>
    <col min="6918" max="6918" width="12.875" style="185" customWidth="1"/>
    <col min="6919" max="6919" width="14.875" style="185" customWidth="1"/>
    <col min="6920" max="6920" width="8.875" style="185" customWidth="1"/>
    <col min="6921" max="6921" width="13" style="185" hidden="1" customWidth="1"/>
    <col min="6922" max="6922" width="9.5625" style="185" customWidth="1"/>
    <col min="6923" max="6923" width="6.875" style="185" customWidth="1"/>
    <col min="6924" max="6924" width="13.6875" style="185" customWidth="1"/>
    <col min="6925" max="6925" width="13.125" style="185" customWidth="1"/>
    <col min="6926" max="6926" width="13.875" style="185" customWidth="1"/>
    <col min="6927" max="6927" width="13" style="185" hidden="1" customWidth="1"/>
    <col min="6928" max="6928" width="6" style="185" customWidth="1"/>
    <col min="6929" max="6929" width="13.5625" style="185" customWidth="1"/>
    <col min="6930" max="6932" width="13" style="185" hidden="1" customWidth="1"/>
    <col min="6933" max="6933" width="14.4375" style="185" customWidth="1"/>
    <col min="6934" max="6934" width="6.4375" style="185" customWidth="1"/>
    <col min="6935" max="6935" width="29" style="185" customWidth="1"/>
    <col min="6936" max="6936" width="18" style="185" customWidth="1"/>
    <col min="6937" max="6937" width="21.4375" style="185" customWidth="1"/>
    <col min="6938" max="6938" width="5.4375" style="185" customWidth="1"/>
    <col min="6939" max="6940" width="9.125" style="185" customWidth="1"/>
    <col min="6941" max="6941" width="9.875" style="185" bestFit="1" customWidth="1"/>
    <col min="6942" max="7171" width="9.125" style="185" customWidth="1"/>
    <col min="7172" max="7172" width="4.3125" style="185" customWidth="1"/>
    <col min="7173" max="7173" width="23.125" style="185" customWidth="1"/>
    <col min="7174" max="7174" width="12.875" style="185" customWidth="1"/>
    <col min="7175" max="7175" width="14.875" style="185" customWidth="1"/>
    <col min="7176" max="7176" width="8.875" style="185" customWidth="1"/>
    <col min="7177" max="7177" width="13" style="185" hidden="1" customWidth="1"/>
    <col min="7178" max="7178" width="9.5625" style="185" customWidth="1"/>
    <col min="7179" max="7179" width="6.875" style="185" customWidth="1"/>
    <col min="7180" max="7180" width="13.6875" style="185" customWidth="1"/>
    <col min="7181" max="7181" width="13.125" style="185" customWidth="1"/>
    <col min="7182" max="7182" width="13.875" style="185" customWidth="1"/>
    <col min="7183" max="7183" width="13" style="185" hidden="1" customWidth="1"/>
    <col min="7184" max="7184" width="6" style="185" customWidth="1"/>
    <col min="7185" max="7185" width="13.5625" style="185" customWidth="1"/>
    <col min="7186" max="7188" width="13" style="185" hidden="1" customWidth="1"/>
    <col min="7189" max="7189" width="14.4375" style="185" customWidth="1"/>
    <col min="7190" max="7190" width="6.4375" style="185" customWidth="1"/>
    <col min="7191" max="7191" width="29" style="185" customWidth="1"/>
    <col min="7192" max="7192" width="18" style="185" customWidth="1"/>
    <col min="7193" max="7193" width="21.4375" style="185" customWidth="1"/>
    <col min="7194" max="7194" width="5.4375" style="185" customWidth="1"/>
    <col min="7195" max="7196" width="9.125" style="185" customWidth="1"/>
    <col min="7197" max="7197" width="9.875" style="185" bestFit="1" customWidth="1"/>
    <col min="7198" max="7427" width="9.125" style="185" customWidth="1"/>
    <col min="7428" max="7428" width="4.3125" style="185" customWidth="1"/>
    <col min="7429" max="7429" width="23.125" style="185" customWidth="1"/>
    <col min="7430" max="7430" width="12.875" style="185" customWidth="1"/>
    <col min="7431" max="7431" width="14.875" style="185" customWidth="1"/>
    <col min="7432" max="7432" width="8.875" style="185" customWidth="1"/>
    <col min="7433" max="7433" width="13" style="185" hidden="1" customWidth="1"/>
    <col min="7434" max="7434" width="9.5625" style="185" customWidth="1"/>
    <col min="7435" max="7435" width="6.875" style="185" customWidth="1"/>
    <col min="7436" max="7436" width="13.6875" style="185" customWidth="1"/>
    <col min="7437" max="7437" width="13.125" style="185" customWidth="1"/>
    <col min="7438" max="7438" width="13.875" style="185" customWidth="1"/>
    <col min="7439" max="7439" width="13" style="185" hidden="1" customWidth="1"/>
    <col min="7440" max="7440" width="6" style="185" customWidth="1"/>
    <col min="7441" max="7441" width="13.5625" style="185" customWidth="1"/>
    <col min="7442" max="7444" width="13" style="185" hidden="1" customWidth="1"/>
    <col min="7445" max="7445" width="14.4375" style="185" customWidth="1"/>
    <col min="7446" max="7446" width="6.4375" style="185" customWidth="1"/>
    <col min="7447" max="7447" width="29" style="185" customWidth="1"/>
    <col min="7448" max="7448" width="18" style="185" customWidth="1"/>
    <col min="7449" max="7449" width="21.4375" style="185" customWidth="1"/>
    <col min="7450" max="7450" width="5.4375" style="185" customWidth="1"/>
    <col min="7451" max="7452" width="9.125" style="185" customWidth="1"/>
    <col min="7453" max="7453" width="9.875" style="185" bestFit="1" customWidth="1"/>
    <col min="7454" max="7683" width="9.125" style="185" customWidth="1"/>
    <col min="7684" max="7684" width="4.3125" style="185" customWidth="1"/>
    <col min="7685" max="7685" width="23.125" style="185" customWidth="1"/>
    <col min="7686" max="7686" width="12.875" style="185" customWidth="1"/>
    <col min="7687" max="7687" width="14.875" style="185" customWidth="1"/>
    <col min="7688" max="7688" width="8.875" style="185" customWidth="1"/>
    <col min="7689" max="7689" width="13" style="185" hidden="1" customWidth="1"/>
    <col min="7690" max="7690" width="9.5625" style="185" customWidth="1"/>
    <col min="7691" max="7691" width="6.875" style="185" customWidth="1"/>
    <col min="7692" max="7692" width="13.6875" style="185" customWidth="1"/>
    <col min="7693" max="7693" width="13.125" style="185" customWidth="1"/>
    <col min="7694" max="7694" width="13.875" style="185" customWidth="1"/>
    <col min="7695" max="7695" width="13" style="185" hidden="1" customWidth="1"/>
    <col min="7696" max="7696" width="6" style="185" customWidth="1"/>
    <col min="7697" max="7697" width="13.5625" style="185" customWidth="1"/>
    <col min="7698" max="7700" width="13" style="185" hidden="1" customWidth="1"/>
    <col min="7701" max="7701" width="14.4375" style="185" customWidth="1"/>
    <col min="7702" max="7702" width="6.4375" style="185" customWidth="1"/>
    <col min="7703" max="7703" width="29" style="185" customWidth="1"/>
    <col min="7704" max="7704" width="18" style="185" customWidth="1"/>
    <col min="7705" max="7705" width="21.4375" style="185" customWidth="1"/>
    <col min="7706" max="7706" width="5.4375" style="185" customWidth="1"/>
    <col min="7707" max="7708" width="9.125" style="185" customWidth="1"/>
    <col min="7709" max="7709" width="9.875" style="185" bestFit="1" customWidth="1"/>
    <col min="7710" max="7939" width="9.125" style="185" customWidth="1"/>
    <col min="7940" max="7940" width="4.3125" style="185" customWidth="1"/>
    <col min="7941" max="7941" width="23.125" style="185" customWidth="1"/>
    <col min="7942" max="7942" width="12.875" style="185" customWidth="1"/>
    <col min="7943" max="7943" width="14.875" style="185" customWidth="1"/>
    <col min="7944" max="7944" width="8.875" style="185" customWidth="1"/>
    <col min="7945" max="7945" width="13" style="185" hidden="1" customWidth="1"/>
    <col min="7946" max="7946" width="9.5625" style="185" customWidth="1"/>
    <col min="7947" max="7947" width="6.875" style="185" customWidth="1"/>
    <col min="7948" max="7948" width="13.6875" style="185" customWidth="1"/>
    <col min="7949" max="7949" width="13.125" style="185" customWidth="1"/>
    <col min="7950" max="7950" width="13.875" style="185" customWidth="1"/>
    <col min="7951" max="7951" width="13" style="185" hidden="1" customWidth="1"/>
    <col min="7952" max="7952" width="6" style="185" customWidth="1"/>
    <col min="7953" max="7953" width="13.5625" style="185" customWidth="1"/>
    <col min="7954" max="7956" width="13" style="185" hidden="1" customWidth="1"/>
    <col min="7957" max="7957" width="14.4375" style="185" customWidth="1"/>
    <col min="7958" max="7958" width="6.4375" style="185" customWidth="1"/>
    <col min="7959" max="7959" width="29" style="185" customWidth="1"/>
    <col min="7960" max="7960" width="18" style="185" customWidth="1"/>
    <col min="7961" max="7961" width="21.4375" style="185" customWidth="1"/>
    <col min="7962" max="7962" width="5.4375" style="185" customWidth="1"/>
    <col min="7963" max="7964" width="9.125" style="185" customWidth="1"/>
    <col min="7965" max="7965" width="9.875" style="185" bestFit="1" customWidth="1"/>
    <col min="7966" max="8195" width="9.125" style="185" customWidth="1"/>
    <col min="8196" max="8196" width="4.3125" style="185" customWidth="1"/>
    <col min="8197" max="8197" width="23.125" style="185" customWidth="1"/>
    <col min="8198" max="8198" width="12.875" style="185" customWidth="1"/>
    <col min="8199" max="8199" width="14.875" style="185" customWidth="1"/>
    <col min="8200" max="8200" width="8.875" style="185" customWidth="1"/>
    <col min="8201" max="8201" width="13" style="185" hidden="1" customWidth="1"/>
    <col min="8202" max="8202" width="9.5625" style="185" customWidth="1"/>
    <col min="8203" max="8203" width="6.875" style="185" customWidth="1"/>
    <col min="8204" max="8204" width="13.6875" style="185" customWidth="1"/>
    <col min="8205" max="8205" width="13.125" style="185" customWidth="1"/>
    <col min="8206" max="8206" width="13.875" style="185" customWidth="1"/>
    <col min="8207" max="8207" width="13" style="185" hidden="1" customWidth="1"/>
    <col min="8208" max="8208" width="6" style="185" customWidth="1"/>
    <col min="8209" max="8209" width="13.5625" style="185" customWidth="1"/>
    <col min="8210" max="8212" width="13" style="185" hidden="1" customWidth="1"/>
    <col min="8213" max="8213" width="14.4375" style="185" customWidth="1"/>
    <col min="8214" max="8214" width="6.4375" style="185" customWidth="1"/>
    <col min="8215" max="8215" width="29" style="185" customWidth="1"/>
    <col min="8216" max="8216" width="18" style="185" customWidth="1"/>
    <col min="8217" max="8217" width="21.4375" style="185" customWidth="1"/>
    <col min="8218" max="8218" width="5.4375" style="185" customWidth="1"/>
    <col min="8219" max="8220" width="9.125" style="185" customWidth="1"/>
    <col min="8221" max="8221" width="9.875" style="185" bestFit="1" customWidth="1"/>
    <col min="8222" max="8451" width="9.125" style="185" customWidth="1"/>
    <col min="8452" max="8452" width="4.3125" style="185" customWidth="1"/>
    <col min="8453" max="8453" width="23.125" style="185" customWidth="1"/>
    <col min="8454" max="8454" width="12.875" style="185" customWidth="1"/>
    <col min="8455" max="8455" width="14.875" style="185" customWidth="1"/>
    <col min="8456" max="8456" width="8.875" style="185" customWidth="1"/>
    <col min="8457" max="8457" width="13" style="185" hidden="1" customWidth="1"/>
    <col min="8458" max="8458" width="9.5625" style="185" customWidth="1"/>
    <col min="8459" max="8459" width="6.875" style="185" customWidth="1"/>
    <col min="8460" max="8460" width="13.6875" style="185" customWidth="1"/>
    <col min="8461" max="8461" width="13.125" style="185" customWidth="1"/>
    <col min="8462" max="8462" width="13.875" style="185" customWidth="1"/>
    <col min="8463" max="8463" width="13" style="185" hidden="1" customWidth="1"/>
    <col min="8464" max="8464" width="6" style="185" customWidth="1"/>
    <col min="8465" max="8465" width="13.5625" style="185" customWidth="1"/>
    <col min="8466" max="8468" width="13" style="185" hidden="1" customWidth="1"/>
    <col min="8469" max="8469" width="14.4375" style="185" customWidth="1"/>
    <col min="8470" max="8470" width="6.4375" style="185" customWidth="1"/>
    <col min="8471" max="8471" width="29" style="185" customWidth="1"/>
    <col min="8472" max="8472" width="18" style="185" customWidth="1"/>
    <col min="8473" max="8473" width="21.4375" style="185" customWidth="1"/>
    <col min="8474" max="8474" width="5.4375" style="185" customWidth="1"/>
    <col min="8475" max="8476" width="9.125" style="185" customWidth="1"/>
    <col min="8477" max="8477" width="9.875" style="185" bestFit="1" customWidth="1"/>
    <col min="8478" max="8707" width="9.125" style="185" customWidth="1"/>
    <col min="8708" max="8708" width="4.3125" style="185" customWidth="1"/>
    <col min="8709" max="8709" width="23.125" style="185" customWidth="1"/>
    <col min="8710" max="8710" width="12.875" style="185" customWidth="1"/>
    <col min="8711" max="8711" width="14.875" style="185" customWidth="1"/>
    <col min="8712" max="8712" width="8.875" style="185" customWidth="1"/>
    <col min="8713" max="8713" width="13" style="185" hidden="1" customWidth="1"/>
    <col min="8714" max="8714" width="9.5625" style="185" customWidth="1"/>
    <col min="8715" max="8715" width="6.875" style="185" customWidth="1"/>
    <col min="8716" max="8716" width="13.6875" style="185" customWidth="1"/>
    <col min="8717" max="8717" width="13.125" style="185" customWidth="1"/>
    <col min="8718" max="8718" width="13.875" style="185" customWidth="1"/>
    <col min="8719" max="8719" width="13" style="185" hidden="1" customWidth="1"/>
    <col min="8720" max="8720" width="6" style="185" customWidth="1"/>
    <col min="8721" max="8721" width="13.5625" style="185" customWidth="1"/>
    <col min="8722" max="8724" width="13" style="185" hidden="1" customWidth="1"/>
    <col min="8725" max="8725" width="14.4375" style="185" customWidth="1"/>
    <col min="8726" max="8726" width="6.4375" style="185" customWidth="1"/>
    <col min="8727" max="8727" width="29" style="185" customWidth="1"/>
    <col min="8728" max="8728" width="18" style="185" customWidth="1"/>
    <col min="8729" max="8729" width="21.4375" style="185" customWidth="1"/>
    <col min="8730" max="8730" width="5.4375" style="185" customWidth="1"/>
    <col min="8731" max="8732" width="9.125" style="185" customWidth="1"/>
    <col min="8733" max="8733" width="9.875" style="185" bestFit="1" customWidth="1"/>
    <col min="8734" max="8963" width="9.125" style="185" customWidth="1"/>
    <col min="8964" max="8964" width="4.3125" style="185" customWidth="1"/>
    <col min="8965" max="8965" width="23.125" style="185" customWidth="1"/>
    <col min="8966" max="8966" width="12.875" style="185" customWidth="1"/>
    <col min="8967" max="8967" width="14.875" style="185" customWidth="1"/>
    <col min="8968" max="8968" width="8.875" style="185" customWidth="1"/>
    <col min="8969" max="8969" width="13" style="185" hidden="1" customWidth="1"/>
    <col min="8970" max="8970" width="9.5625" style="185" customWidth="1"/>
    <col min="8971" max="8971" width="6.875" style="185" customWidth="1"/>
    <col min="8972" max="8972" width="13.6875" style="185" customWidth="1"/>
    <col min="8973" max="8973" width="13.125" style="185" customWidth="1"/>
    <col min="8974" max="8974" width="13.875" style="185" customWidth="1"/>
    <col min="8975" max="8975" width="13" style="185" hidden="1" customWidth="1"/>
    <col min="8976" max="8976" width="6" style="185" customWidth="1"/>
    <col min="8977" max="8977" width="13.5625" style="185" customWidth="1"/>
    <col min="8978" max="8980" width="13" style="185" hidden="1" customWidth="1"/>
    <col min="8981" max="8981" width="14.4375" style="185" customWidth="1"/>
    <col min="8982" max="8982" width="6.4375" style="185" customWidth="1"/>
    <col min="8983" max="8983" width="29" style="185" customWidth="1"/>
    <col min="8984" max="8984" width="18" style="185" customWidth="1"/>
    <col min="8985" max="8985" width="21.4375" style="185" customWidth="1"/>
    <col min="8986" max="8986" width="5.4375" style="185" customWidth="1"/>
    <col min="8987" max="8988" width="9.125" style="185" customWidth="1"/>
    <col min="8989" max="8989" width="9.875" style="185" bestFit="1" customWidth="1"/>
    <col min="8990" max="9219" width="9.125" style="185" customWidth="1"/>
    <col min="9220" max="9220" width="4.3125" style="185" customWidth="1"/>
    <col min="9221" max="9221" width="23.125" style="185" customWidth="1"/>
    <col min="9222" max="9222" width="12.875" style="185" customWidth="1"/>
    <col min="9223" max="9223" width="14.875" style="185" customWidth="1"/>
    <col min="9224" max="9224" width="8.875" style="185" customWidth="1"/>
    <col min="9225" max="9225" width="13" style="185" hidden="1" customWidth="1"/>
    <col min="9226" max="9226" width="9.5625" style="185" customWidth="1"/>
    <col min="9227" max="9227" width="6.875" style="185" customWidth="1"/>
    <col min="9228" max="9228" width="13.6875" style="185" customWidth="1"/>
    <col min="9229" max="9229" width="13.125" style="185" customWidth="1"/>
    <col min="9230" max="9230" width="13.875" style="185" customWidth="1"/>
    <col min="9231" max="9231" width="13" style="185" hidden="1" customWidth="1"/>
    <col min="9232" max="9232" width="6" style="185" customWidth="1"/>
    <col min="9233" max="9233" width="13.5625" style="185" customWidth="1"/>
    <col min="9234" max="9236" width="13" style="185" hidden="1" customWidth="1"/>
    <col min="9237" max="9237" width="14.4375" style="185" customWidth="1"/>
    <col min="9238" max="9238" width="6.4375" style="185" customWidth="1"/>
    <col min="9239" max="9239" width="29" style="185" customWidth="1"/>
    <col min="9240" max="9240" width="18" style="185" customWidth="1"/>
    <col min="9241" max="9241" width="21.4375" style="185" customWidth="1"/>
    <col min="9242" max="9242" width="5.4375" style="185" customWidth="1"/>
    <col min="9243" max="9244" width="9.125" style="185" customWidth="1"/>
    <col min="9245" max="9245" width="9.875" style="185" bestFit="1" customWidth="1"/>
    <col min="9246" max="9475" width="9.125" style="185" customWidth="1"/>
    <col min="9476" max="9476" width="4.3125" style="185" customWidth="1"/>
    <col min="9477" max="9477" width="23.125" style="185" customWidth="1"/>
    <col min="9478" max="9478" width="12.875" style="185" customWidth="1"/>
    <col min="9479" max="9479" width="14.875" style="185" customWidth="1"/>
    <col min="9480" max="9480" width="8.875" style="185" customWidth="1"/>
    <col min="9481" max="9481" width="13" style="185" hidden="1" customWidth="1"/>
    <col min="9482" max="9482" width="9.5625" style="185" customWidth="1"/>
    <col min="9483" max="9483" width="6.875" style="185" customWidth="1"/>
    <col min="9484" max="9484" width="13.6875" style="185" customWidth="1"/>
    <col min="9485" max="9485" width="13.125" style="185" customWidth="1"/>
    <col min="9486" max="9486" width="13.875" style="185" customWidth="1"/>
    <col min="9487" max="9487" width="13" style="185" hidden="1" customWidth="1"/>
    <col min="9488" max="9488" width="6" style="185" customWidth="1"/>
    <col min="9489" max="9489" width="13.5625" style="185" customWidth="1"/>
    <col min="9490" max="9492" width="13" style="185" hidden="1" customWidth="1"/>
    <col min="9493" max="9493" width="14.4375" style="185" customWidth="1"/>
    <col min="9494" max="9494" width="6.4375" style="185" customWidth="1"/>
    <col min="9495" max="9495" width="29" style="185" customWidth="1"/>
    <col min="9496" max="9496" width="18" style="185" customWidth="1"/>
    <col min="9497" max="9497" width="21.4375" style="185" customWidth="1"/>
    <col min="9498" max="9498" width="5.4375" style="185" customWidth="1"/>
    <col min="9499" max="9500" width="9.125" style="185" customWidth="1"/>
    <col min="9501" max="9501" width="9.875" style="185" bestFit="1" customWidth="1"/>
    <col min="9502" max="9731" width="9.125" style="185" customWidth="1"/>
    <col min="9732" max="9732" width="4.3125" style="185" customWidth="1"/>
    <col min="9733" max="9733" width="23.125" style="185" customWidth="1"/>
    <col min="9734" max="9734" width="12.875" style="185" customWidth="1"/>
    <col min="9735" max="9735" width="14.875" style="185" customWidth="1"/>
    <col min="9736" max="9736" width="8.875" style="185" customWidth="1"/>
    <col min="9737" max="9737" width="13" style="185" hidden="1" customWidth="1"/>
    <col min="9738" max="9738" width="9.5625" style="185" customWidth="1"/>
    <col min="9739" max="9739" width="6.875" style="185" customWidth="1"/>
    <col min="9740" max="9740" width="13.6875" style="185" customWidth="1"/>
    <col min="9741" max="9741" width="13.125" style="185" customWidth="1"/>
    <col min="9742" max="9742" width="13.875" style="185" customWidth="1"/>
    <col min="9743" max="9743" width="13" style="185" hidden="1" customWidth="1"/>
    <col min="9744" max="9744" width="6" style="185" customWidth="1"/>
    <col min="9745" max="9745" width="13.5625" style="185" customWidth="1"/>
    <col min="9746" max="9748" width="13" style="185" hidden="1" customWidth="1"/>
    <col min="9749" max="9749" width="14.4375" style="185" customWidth="1"/>
    <col min="9750" max="9750" width="6.4375" style="185" customWidth="1"/>
    <col min="9751" max="9751" width="29" style="185" customWidth="1"/>
    <col min="9752" max="9752" width="18" style="185" customWidth="1"/>
    <col min="9753" max="9753" width="21.4375" style="185" customWidth="1"/>
    <col min="9754" max="9754" width="5.4375" style="185" customWidth="1"/>
    <col min="9755" max="9756" width="9.125" style="185" customWidth="1"/>
    <col min="9757" max="9757" width="9.875" style="185" bestFit="1" customWidth="1"/>
    <col min="9758" max="9987" width="9.125" style="185" customWidth="1"/>
    <col min="9988" max="9988" width="4.3125" style="185" customWidth="1"/>
    <col min="9989" max="9989" width="23.125" style="185" customWidth="1"/>
    <col min="9990" max="9990" width="12.875" style="185" customWidth="1"/>
    <col min="9991" max="9991" width="14.875" style="185" customWidth="1"/>
    <col min="9992" max="9992" width="8.875" style="185" customWidth="1"/>
    <col min="9993" max="9993" width="13" style="185" hidden="1" customWidth="1"/>
    <col min="9994" max="9994" width="9.5625" style="185" customWidth="1"/>
    <col min="9995" max="9995" width="6.875" style="185" customWidth="1"/>
    <col min="9996" max="9996" width="13.6875" style="185" customWidth="1"/>
    <col min="9997" max="9997" width="13.125" style="185" customWidth="1"/>
    <col min="9998" max="9998" width="13.875" style="185" customWidth="1"/>
    <col min="9999" max="9999" width="13" style="185" hidden="1" customWidth="1"/>
    <col min="10000" max="10000" width="6" style="185" customWidth="1"/>
    <col min="10001" max="10001" width="13.5625" style="185" customWidth="1"/>
    <col min="10002" max="10004" width="13" style="185" hidden="1" customWidth="1"/>
    <col min="10005" max="10005" width="14.4375" style="185" customWidth="1"/>
    <col min="10006" max="10006" width="6.4375" style="185" customWidth="1"/>
    <col min="10007" max="10007" width="29" style="185" customWidth="1"/>
    <col min="10008" max="10008" width="18" style="185" customWidth="1"/>
    <col min="10009" max="10009" width="21.4375" style="185" customWidth="1"/>
    <col min="10010" max="10010" width="5.4375" style="185" customWidth="1"/>
    <col min="10011" max="10012" width="9.125" style="185" customWidth="1"/>
    <col min="10013" max="10013" width="9.875" style="185" bestFit="1" customWidth="1"/>
    <col min="10014" max="10243" width="9.125" style="185" customWidth="1"/>
    <col min="10244" max="10244" width="4.3125" style="185" customWidth="1"/>
    <col min="10245" max="10245" width="23.125" style="185" customWidth="1"/>
    <col min="10246" max="10246" width="12.875" style="185" customWidth="1"/>
    <col min="10247" max="10247" width="14.875" style="185" customWidth="1"/>
    <col min="10248" max="10248" width="8.875" style="185" customWidth="1"/>
    <col min="10249" max="10249" width="13" style="185" hidden="1" customWidth="1"/>
    <col min="10250" max="10250" width="9.5625" style="185" customWidth="1"/>
    <col min="10251" max="10251" width="6.875" style="185" customWidth="1"/>
    <col min="10252" max="10252" width="13.6875" style="185" customWidth="1"/>
    <col min="10253" max="10253" width="13.125" style="185" customWidth="1"/>
    <col min="10254" max="10254" width="13.875" style="185" customWidth="1"/>
    <col min="10255" max="10255" width="13" style="185" hidden="1" customWidth="1"/>
    <col min="10256" max="10256" width="6" style="185" customWidth="1"/>
    <col min="10257" max="10257" width="13.5625" style="185" customWidth="1"/>
    <col min="10258" max="10260" width="13" style="185" hidden="1" customWidth="1"/>
    <col min="10261" max="10261" width="14.4375" style="185" customWidth="1"/>
    <col min="10262" max="10262" width="6.4375" style="185" customWidth="1"/>
    <col min="10263" max="10263" width="29" style="185" customWidth="1"/>
    <col min="10264" max="10264" width="18" style="185" customWidth="1"/>
    <col min="10265" max="10265" width="21.4375" style="185" customWidth="1"/>
    <col min="10266" max="10266" width="5.4375" style="185" customWidth="1"/>
    <col min="10267" max="10268" width="9.125" style="185" customWidth="1"/>
    <col min="10269" max="10269" width="9.875" style="185" bestFit="1" customWidth="1"/>
    <col min="10270" max="10499" width="9.125" style="185" customWidth="1"/>
    <col min="10500" max="10500" width="4.3125" style="185" customWidth="1"/>
    <col min="10501" max="10501" width="23.125" style="185" customWidth="1"/>
    <col min="10502" max="10502" width="12.875" style="185" customWidth="1"/>
    <col min="10503" max="10503" width="14.875" style="185" customWidth="1"/>
    <col min="10504" max="10504" width="8.875" style="185" customWidth="1"/>
    <col min="10505" max="10505" width="13" style="185" hidden="1" customWidth="1"/>
    <col min="10506" max="10506" width="9.5625" style="185" customWidth="1"/>
    <col min="10507" max="10507" width="6.875" style="185" customWidth="1"/>
    <col min="10508" max="10508" width="13.6875" style="185" customWidth="1"/>
    <col min="10509" max="10509" width="13.125" style="185" customWidth="1"/>
    <col min="10510" max="10510" width="13.875" style="185" customWidth="1"/>
    <col min="10511" max="10511" width="13" style="185" hidden="1" customWidth="1"/>
    <col min="10512" max="10512" width="6" style="185" customWidth="1"/>
    <col min="10513" max="10513" width="13.5625" style="185" customWidth="1"/>
    <col min="10514" max="10516" width="13" style="185" hidden="1" customWidth="1"/>
    <col min="10517" max="10517" width="14.4375" style="185" customWidth="1"/>
    <col min="10518" max="10518" width="6.4375" style="185" customWidth="1"/>
    <col min="10519" max="10519" width="29" style="185" customWidth="1"/>
    <col min="10520" max="10520" width="18" style="185" customWidth="1"/>
    <col min="10521" max="10521" width="21.4375" style="185" customWidth="1"/>
    <col min="10522" max="10522" width="5.4375" style="185" customWidth="1"/>
    <col min="10523" max="10524" width="9.125" style="185" customWidth="1"/>
    <col min="10525" max="10525" width="9.875" style="185" bestFit="1" customWidth="1"/>
    <col min="10526" max="10755" width="9.125" style="185" customWidth="1"/>
    <col min="10756" max="10756" width="4.3125" style="185" customWidth="1"/>
    <col min="10757" max="10757" width="23.125" style="185" customWidth="1"/>
    <col min="10758" max="10758" width="12.875" style="185" customWidth="1"/>
    <col min="10759" max="10759" width="14.875" style="185" customWidth="1"/>
    <col min="10760" max="10760" width="8.875" style="185" customWidth="1"/>
    <col min="10761" max="10761" width="13" style="185" hidden="1" customWidth="1"/>
    <col min="10762" max="10762" width="9.5625" style="185" customWidth="1"/>
    <col min="10763" max="10763" width="6.875" style="185" customWidth="1"/>
    <col min="10764" max="10764" width="13.6875" style="185" customWidth="1"/>
    <col min="10765" max="10765" width="13.125" style="185" customWidth="1"/>
    <col min="10766" max="10766" width="13.875" style="185" customWidth="1"/>
    <col min="10767" max="10767" width="13" style="185" hidden="1" customWidth="1"/>
    <col min="10768" max="10768" width="6" style="185" customWidth="1"/>
    <col min="10769" max="10769" width="13.5625" style="185" customWidth="1"/>
    <col min="10770" max="10772" width="13" style="185" hidden="1" customWidth="1"/>
    <col min="10773" max="10773" width="14.4375" style="185" customWidth="1"/>
    <col min="10774" max="10774" width="6.4375" style="185" customWidth="1"/>
    <col min="10775" max="10775" width="29" style="185" customWidth="1"/>
    <col min="10776" max="10776" width="18" style="185" customWidth="1"/>
    <col min="10777" max="10777" width="21.4375" style="185" customWidth="1"/>
    <col min="10778" max="10778" width="5.4375" style="185" customWidth="1"/>
    <col min="10779" max="10780" width="9.125" style="185" customWidth="1"/>
    <col min="10781" max="10781" width="9.875" style="185" bestFit="1" customWidth="1"/>
    <col min="10782" max="11011" width="9.125" style="185" customWidth="1"/>
    <col min="11012" max="11012" width="4.3125" style="185" customWidth="1"/>
    <col min="11013" max="11013" width="23.125" style="185" customWidth="1"/>
    <col min="11014" max="11014" width="12.875" style="185" customWidth="1"/>
    <col min="11015" max="11015" width="14.875" style="185" customWidth="1"/>
    <col min="11016" max="11016" width="8.875" style="185" customWidth="1"/>
    <col min="11017" max="11017" width="13" style="185" hidden="1" customWidth="1"/>
    <col min="11018" max="11018" width="9.5625" style="185" customWidth="1"/>
    <col min="11019" max="11019" width="6.875" style="185" customWidth="1"/>
    <col min="11020" max="11020" width="13.6875" style="185" customWidth="1"/>
    <col min="11021" max="11021" width="13.125" style="185" customWidth="1"/>
    <col min="11022" max="11022" width="13.875" style="185" customWidth="1"/>
    <col min="11023" max="11023" width="13" style="185" hidden="1" customWidth="1"/>
    <col min="11024" max="11024" width="6" style="185" customWidth="1"/>
    <col min="11025" max="11025" width="13.5625" style="185" customWidth="1"/>
    <col min="11026" max="11028" width="13" style="185" hidden="1" customWidth="1"/>
    <col min="11029" max="11029" width="14.4375" style="185" customWidth="1"/>
    <col min="11030" max="11030" width="6.4375" style="185" customWidth="1"/>
    <col min="11031" max="11031" width="29" style="185" customWidth="1"/>
    <col min="11032" max="11032" width="18" style="185" customWidth="1"/>
    <col min="11033" max="11033" width="21.4375" style="185" customWidth="1"/>
    <col min="11034" max="11034" width="5.4375" style="185" customWidth="1"/>
    <col min="11035" max="11036" width="9.125" style="185" customWidth="1"/>
    <col min="11037" max="11037" width="9.875" style="185" bestFit="1" customWidth="1"/>
    <col min="11038" max="11267" width="9.125" style="185" customWidth="1"/>
    <col min="11268" max="11268" width="4.3125" style="185" customWidth="1"/>
    <col min="11269" max="11269" width="23.125" style="185" customWidth="1"/>
    <col min="11270" max="11270" width="12.875" style="185" customWidth="1"/>
    <col min="11271" max="11271" width="14.875" style="185" customWidth="1"/>
    <col min="11272" max="11272" width="8.875" style="185" customWidth="1"/>
    <col min="11273" max="11273" width="13" style="185" hidden="1" customWidth="1"/>
    <col min="11274" max="11274" width="9.5625" style="185" customWidth="1"/>
    <col min="11275" max="11275" width="6.875" style="185" customWidth="1"/>
    <col min="11276" max="11276" width="13.6875" style="185" customWidth="1"/>
    <col min="11277" max="11277" width="13.125" style="185" customWidth="1"/>
    <col min="11278" max="11278" width="13.875" style="185" customWidth="1"/>
    <col min="11279" max="11279" width="13" style="185" hidden="1" customWidth="1"/>
    <col min="11280" max="11280" width="6" style="185" customWidth="1"/>
    <col min="11281" max="11281" width="13.5625" style="185" customWidth="1"/>
    <col min="11282" max="11284" width="13" style="185" hidden="1" customWidth="1"/>
    <col min="11285" max="11285" width="14.4375" style="185" customWidth="1"/>
    <col min="11286" max="11286" width="6.4375" style="185" customWidth="1"/>
    <col min="11287" max="11287" width="29" style="185" customWidth="1"/>
    <col min="11288" max="11288" width="18" style="185" customWidth="1"/>
    <col min="11289" max="11289" width="21.4375" style="185" customWidth="1"/>
    <col min="11290" max="11290" width="5.4375" style="185" customWidth="1"/>
    <col min="11291" max="11292" width="9.125" style="185" customWidth="1"/>
    <col min="11293" max="11293" width="9.875" style="185" bestFit="1" customWidth="1"/>
    <col min="11294" max="11523" width="9.125" style="185" customWidth="1"/>
    <col min="11524" max="11524" width="4.3125" style="185" customWidth="1"/>
    <col min="11525" max="11525" width="23.125" style="185" customWidth="1"/>
    <col min="11526" max="11526" width="12.875" style="185" customWidth="1"/>
    <col min="11527" max="11527" width="14.875" style="185" customWidth="1"/>
    <col min="11528" max="11528" width="8.875" style="185" customWidth="1"/>
    <col min="11529" max="11529" width="13" style="185" hidden="1" customWidth="1"/>
    <col min="11530" max="11530" width="9.5625" style="185" customWidth="1"/>
    <col min="11531" max="11531" width="6.875" style="185" customWidth="1"/>
    <col min="11532" max="11532" width="13.6875" style="185" customWidth="1"/>
    <col min="11533" max="11533" width="13.125" style="185" customWidth="1"/>
    <col min="11534" max="11534" width="13.875" style="185" customWidth="1"/>
    <col min="11535" max="11535" width="13" style="185" hidden="1" customWidth="1"/>
    <col min="11536" max="11536" width="6" style="185" customWidth="1"/>
    <col min="11537" max="11537" width="13.5625" style="185" customWidth="1"/>
    <col min="11538" max="11540" width="13" style="185" hidden="1" customWidth="1"/>
    <col min="11541" max="11541" width="14.4375" style="185" customWidth="1"/>
    <col min="11542" max="11542" width="6.4375" style="185" customWidth="1"/>
    <col min="11543" max="11543" width="29" style="185" customWidth="1"/>
    <col min="11544" max="11544" width="18" style="185" customWidth="1"/>
    <col min="11545" max="11545" width="21.4375" style="185" customWidth="1"/>
    <col min="11546" max="11546" width="5.4375" style="185" customWidth="1"/>
    <col min="11547" max="11548" width="9.125" style="185" customWidth="1"/>
    <col min="11549" max="11549" width="9.875" style="185" bestFit="1" customWidth="1"/>
    <col min="11550" max="11779" width="9.125" style="185" customWidth="1"/>
    <col min="11780" max="11780" width="4.3125" style="185" customWidth="1"/>
    <col min="11781" max="11781" width="23.125" style="185" customWidth="1"/>
    <col min="11782" max="11782" width="12.875" style="185" customWidth="1"/>
    <col min="11783" max="11783" width="14.875" style="185" customWidth="1"/>
    <col min="11784" max="11784" width="8.875" style="185" customWidth="1"/>
    <col min="11785" max="11785" width="13" style="185" hidden="1" customWidth="1"/>
    <col min="11786" max="11786" width="9.5625" style="185" customWidth="1"/>
    <col min="11787" max="11787" width="6.875" style="185" customWidth="1"/>
    <col min="11788" max="11788" width="13.6875" style="185" customWidth="1"/>
    <col min="11789" max="11789" width="13.125" style="185" customWidth="1"/>
    <col min="11790" max="11790" width="13.875" style="185" customWidth="1"/>
    <col min="11791" max="11791" width="13" style="185" hidden="1" customWidth="1"/>
    <col min="11792" max="11792" width="6" style="185" customWidth="1"/>
    <col min="11793" max="11793" width="13.5625" style="185" customWidth="1"/>
    <col min="11794" max="11796" width="13" style="185" hidden="1" customWidth="1"/>
    <col min="11797" max="11797" width="14.4375" style="185" customWidth="1"/>
    <col min="11798" max="11798" width="6.4375" style="185" customWidth="1"/>
    <col min="11799" max="11799" width="29" style="185" customWidth="1"/>
    <col min="11800" max="11800" width="18" style="185" customWidth="1"/>
    <col min="11801" max="11801" width="21.4375" style="185" customWidth="1"/>
    <col min="11802" max="11802" width="5.4375" style="185" customWidth="1"/>
    <col min="11803" max="11804" width="9.125" style="185" customWidth="1"/>
    <col min="11805" max="11805" width="9.875" style="185" bestFit="1" customWidth="1"/>
    <col min="11806" max="12035" width="9.125" style="185" customWidth="1"/>
    <col min="12036" max="12036" width="4.3125" style="185" customWidth="1"/>
    <col min="12037" max="12037" width="23.125" style="185" customWidth="1"/>
    <col min="12038" max="12038" width="12.875" style="185" customWidth="1"/>
    <col min="12039" max="12039" width="14.875" style="185" customWidth="1"/>
    <col min="12040" max="12040" width="8.875" style="185" customWidth="1"/>
    <col min="12041" max="12041" width="13" style="185" hidden="1" customWidth="1"/>
    <col min="12042" max="12042" width="9.5625" style="185" customWidth="1"/>
    <col min="12043" max="12043" width="6.875" style="185" customWidth="1"/>
    <col min="12044" max="12044" width="13.6875" style="185" customWidth="1"/>
    <col min="12045" max="12045" width="13.125" style="185" customWidth="1"/>
    <col min="12046" max="12046" width="13.875" style="185" customWidth="1"/>
    <col min="12047" max="12047" width="13" style="185" hidden="1" customWidth="1"/>
    <col min="12048" max="12048" width="6" style="185" customWidth="1"/>
    <col min="12049" max="12049" width="13.5625" style="185" customWidth="1"/>
    <col min="12050" max="12052" width="13" style="185" hidden="1" customWidth="1"/>
    <col min="12053" max="12053" width="14.4375" style="185" customWidth="1"/>
    <col min="12054" max="12054" width="6.4375" style="185" customWidth="1"/>
    <col min="12055" max="12055" width="29" style="185" customWidth="1"/>
    <col min="12056" max="12056" width="18" style="185" customWidth="1"/>
    <col min="12057" max="12057" width="21.4375" style="185" customWidth="1"/>
    <col min="12058" max="12058" width="5.4375" style="185" customWidth="1"/>
    <col min="12059" max="12060" width="9.125" style="185" customWidth="1"/>
    <col min="12061" max="12061" width="9.875" style="185" bestFit="1" customWidth="1"/>
    <col min="12062" max="12291" width="9.125" style="185" customWidth="1"/>
    <col min="12292" max="12292" width="4.3125" style="185" customWidth="1"/>
    <col min="12293" max="12293" width="23.125" style="185" customWidth="1"/>
    <col min="12294" max="12294" width="12.875" style="185" customWidth="1"/>
    <col min="12295" max="12295" width="14.875" style="185" customWidth="1"/>
    <col min="12296" max="12296" width="8.875" style="185" customWidth="1"/>
    <col min="12297" max="12297" width="13" style="185" hidden="1" customWidth="1"/>
    <col min="12298" max="12298" width="9.5625" style="185" customWidth="1"/>
    <col min="12299" max="12299" width="6.875" style="185" customWidth="1"/>
    <col min="12300" max="12300" width="13.6875" style="185" customWidth="1"/>
    <col min="12301" max="12301" width="13.125" style="185" customWidth="1"/>
    <col min="12302" max="12302" width="13.875" style="185" customWidth="1"/>
    <col min="12303" max="12303" width="13" style="185" hidden="1" customWidth="1"/>
    <col min="12304" max="12304" width="6" style="185" customWidth="1"/>
    <col min="12305" max="12305" width="13.5625" style="185" customWidth="1"/>
    <col min="12306" max="12308" width="13" style="185" hidden="1" customWidth="1"/>
    <col min="12309" max="12309" width="14.4375" style="185" customWidth="1"/>
    <col min="12310" max="12310" width="6.4375" style="185" customWidth="1"/>
    <col min="12311" max="12311" width="29" style="185" customWidth="1"/>
    <col min="12312" max="12312" width="18" style="185" customWidth="1"/>
    <col min="12313" max="12313" width="21.4375" style="185" customWidth="1"/>
    <col min="12314" max="12314" width="5.4375" style="185" customWidth="1"/>
    <col min="12315" max="12316" width="9.125" style="185" customWidth="1"/>
    <col min="12317" max="12317" width="9.875" style="185" bestFit="1" customWidth="1"/>
    <col min="12318" max="12547" width="9.125" style="185" customWidth="1"/>
    <col min="12548" max="12548" width="4.3125" style="185" customWidth="1"/>
    <col min="12549" max="12549" width="23.125" style="185" customWidth="1"/>
    <col min="12550" max="12550" width="12.875" style="185" customWidth="1"/>
    <col min="12551" max="12551" width="14.875" style="185" customWidth="1"/>
    <col min="12552" max="12552" width="8.875" style="185" customWidth="1"/>
    <col min="12553" max="12553" width="13" style="185" hidden="1" customWidth="1"/>
    <col min="12554" max="12554" width="9.5625" style="185" customWidth="1"/>
    <col min="12555" max="12555" width="6.875" style="185" customWidth="1"/>
    <col min="12556" max="12556" width="13.6875" style="185" customWidth="1"/>
    <col min="12557" max="12557" width="13.125" style="185" customWidth="1"/>
    <col min="12558" max="12558" width="13.875" style="185" customWidth="1"/>
    <col min="12559" max="12559" width="13" style="185" hidden="1" customWidth="1"/>
    <col min="12560" max="12560" width="6" style="185" customWidth="1"/>
    <col min="12561" max="12561" width="13.5625" style="185" customWidth="1"/>
    <col min="12562" max="12564" width="13" style="185" hidden="1" customWidth="1"/>
    <col min="12565" max="12565" width="14.4375" style="185" customWidth="1"/>
    <col min="12566" max="12566" width="6.4375" style="185" customWidth="1"/>
    <col min="12567" max="12567" width="29" style="185" customWidth="1"/>
    <col min="12568" max="12568" width="18" style="185" customWidth="1"/>
    <col min="12569" max="12569" width="21.4375" style="185" customWidth="1"/>
    <col min="12570" max="12570" width="5.4375" style="185" customWidth="1"/>
    <col min="12571" max="12572" width="9.125" style="185" customWidth="1"/>
    <col min="12573" max="12573" width="9.875" style="185" bestFit="1" customWidth="1"/>
    <col min="12574" max="12803" width="9.125" style="185" customWidth="1"/>
    <col min="12804" max="12804" width="4.3125" style="185" customWidth="1"/>
    <col min="12805" max="12805" width="23.125" style="185" customWidth="1"/>
    <col min="12806" max="12806" width="12.875" style="185" customWidth="1"/>
    <col min="12807" max="12807" width="14.875" style="185" customWidth="1"/>
    <col min="12808" max="12808" width="8.875" style="185" customWidth="1"/>
    <col min="12809" max="12809" width="13" style="185" hidden="1" customWidth="1"/>
    <col min="12810" max="12810" width="9.5625" style="185" customWidth="1"/>
    <col min="12811" max="12811" width="6.875" style="185" customWidth="1"/>
    <col min="12812" max="12812" width="13.6875" style="185" customWidth="1"/>
    <col min="12813" max="12813" width="13.125" style="185" customWidth="1"/>
    <col min="12814" max="12814" width="13.875" style="185" customWidth="1"/>
    <col min="12815" max="12815" width="13" style="185" hidden="1" customWidth="1"/>
    <col min="12816" max="12816" width="6" style="185" customWidth="1"/>
    <col min="12817" max="12817" width="13.5625" style="185" customWidth="1"/>
    <col min="12818" max="12820" width="13" style="185" hidden="1" customWidth="1"/>
    <col min="12821" max="12821" width="14.4375" style="185" customWidth="1"/>
    <col min="12822" max="12822" width="6.4375" style="185" customWidth="1"/>
    <col min="12823" max="12823" width="29" style="185" customWidth="1"/>
    <col min="12824" max="12824" width="18" style="185" customWidth="1"/>
    <col min="12825" max="12825" width="21.4375" style="185" customWidth="1"/>
    <col min="12826" max="12826" width="5.4375" style="185" customWidth="1"/>
    <col min="12827" max="12828" width="9.125" style="185" customWidth="1"/>
    <col min="12829" max="12829" width="9.875" style="185" bestFit="1" customWidth="1"/>
    <col min="12830" max="13059" width="9.125" style="185" customWidth="1"/>
    <col min="13060" max="13060" width="4.3125" style="185" customWidth="1"/>
    <col min="13061" max="13061" width="23.125" style="185" customWidth="1"/>
    <col min="13062" max="13062" width="12.875" style="185" customWidth="1"/>
    <col min="13063" max="13063" width="14.875" style="185" customWidth="1"/>
    <col min="13064" max="13064" width="8.875" style="185" customWidth="1"/>
    <col min="13065" max="13065" width="13" style="185" hidden="1" customWidth="1"/>
    <col min="13066" max="13066" width="9.5625" style="185" customWidth="1"/>
    <col min="13067" max="13067" width="6.875" style="185" customWidth="1"/>
    <col min="13068" max="13068" width="13.6875" style="185" customWidth="1"/>
    <col min="13069" max="13069" width="13.125" style="185" customWidth="1"/>
    <col min="13070" max="13070" width="13.875" style="185" customWidth="1"/>
    <col min="13071" max="13071" width="13" style="185" hidden="1" customWidth="1"/>
    <col min="13072" max="13072" width="6" style="185" customWidth="1"/>
    <col min="13073" max="13073" width="13.5625" style="185" customWidth="1"/>
    <col min="13074" max="13076" width="13" style="185" hidden="1" customWidth="1"/>
    <col min="13077" max="13077" width="14.4375" style="185" customWidth="1"/>
    <col min="13078" max="13078" width="6.4375" style="185" customWidth="1"/>
    <col min="13079" max="13079" width="29" style="185" customWidth="1"/>
    <col min="13080" max="13080" width="18" style="185" customWidth="1"/>
    <col min="13081" max="13081" width="21.4375" style="185" customWidth="1"/>
    <col min="13082" max="13082" width="5.4375" style="185" customWidth="1"/>
    <col min="13083" max="13084" width="9.125" style="185" customWidth="1"/>
    <col min="13085" max="13085" width="9.875" style="185" bestFit="1" customWidth="1"/>
    <col min="13086" max="13315" width="9.125" style="185" customWidth="1"/>
    <col min="13316" max="13316" width="4.3125" style="185" customWidth="1"/>
    <col min="13317" max="13317" width="23.125" style="185" customWidth="1"/>
    <col min="13318" max="13318" width="12.875" style="185" customWidth="1"/>
    <col min="13319" max="13319" width="14.875" style="185" customWidth="1"/>
    <col min="13320" max="13320" width="8.875" style="185" customWidth="1"/>
    <col min="13321" max="13321" width="13" style="185" hidden="1" customWidth="1"/>
    <col min="13322" max="13322" width="9.5625" style="185" customWidth="1"/>
    <col min="13323" max="13323" width="6.875" style="185" customWidth="1"/>
    <col min="13324" max="13324" width="13.6875" style="185" customWidth="1"/>
    <col min="13325" max="13325" width="13.125" style="185" customWidth="1"/>
    <col min="13326" max="13326" width="13.875" style="185" customWidth="1"/>
    <col min="13327" max="13327" width="13" style="185" hidden="1" customWidth="1"/>
    <col min="13328" max="13328" width="6" style="185" customWidth="1"/>
    <col min="13329" max="13329" width="13.5625" style="185" customWidth="1"/>
    <col min="13330" max="13332" width="13" style="185" hidden="1" customWidth="1"/>
    <col min="13333" max="13333" width="14.4375" style="185" customWidth="1"/>
    <col min="13334" max="13334" width="6.4375" style="185" customWidth="1"/>
    <col min="13335" max="13335" width="29" style="185" customWidth="1"/>
    <col min="13336" max="13336" width="18" style="185" customWidth="1"/>
    <col min="13337" max="13337" width="21.4375" style="185" customWidth="1"/>
    <col min="13338" max="13338" width="5.4375" style="185" customWidth="1"/>
    <col min="13339" max="13340" width="9.125" style="185" customWidth="1"/>
    <col min="13341" max="13341" width="9.875" style="185" bestFit="1" customWidth="1"/>
    <col min="13342" max="13571" width="9.125" style="185" customWidth="1"/>
    <col min="13572" max="13572" width="4.3125" style="185" customWidth="1"/>
    <col min="13573" max="13573" width="23.125" style="185" customWidth="1"/>
    <col min="13574" max="13574" width="12.875" style="185" customWidth="1"/>
    <col min="13575" max="13575" width="14.875" style="185" customWidth="1"/>
    <col min="13576" max="13576" width="8.875" style="185" customWidth="1"/>
    <col min="13577" max="13577" width="13" style="185" hidden="1" customWidth="1"/>
    <col min="13578" max="13578" width="9.5625" style="185" customWidth="1"/>
    <col min="13579" max="13579" width="6.875" style="185" customWidth="1"/>
    <col min="13580" max="13580" width="13.6875" style="185" customWidth="1"/>
    <col min="13581" max="13581" width="13.125" style="185" customWidth="1"/>
    <col min="13582" max="13582" width="13.875" style="185" customWidth="1"/>
    <col min="13583" max="13583" width="13" style="185" hidden="1" customWidth="1"/>
    <col min="13584" max="13584" width="6" style="185" customWidth="1"/>
    <col min="13585" max="13585" width="13.5625" style="185" customWidth="1"/>
    <col min="13586" max="13588" width="13" style="185" hidden="1" customWidth="1"/>
    <col min="13589" max="13589" width="14.4375" style="185" customWidth="1"/>
    <col min="13590" max="13590" width="6.4375" style="185" customWidth="1"/>
    <col min="13591" max="13591" width="29" style="185" customWidth="1"/>
    <col min="13592" max="13592" width="18" style="185" customWidth="1"/>
    <col min="13593" max="13593" width="21.4375" style="185" customWidth="1"/>
    <col min="13594" max="13594" width="5.4375" style="185" customWidth="1"/>
    <col min="13595" max="13596" width="9.125" style="185" customWidth="1"/>
    <col min="13597" max="13597" width="9.875" style="185" bestFit="1" customWidth="1"/>
    <col min="13598" max="13827" width="9.125" style="185" customWidth="1"/>
    <col min="13828" max="13828" width="4.3125" style="185" customWidth="1"/>
    <col min="13829" max="13829" width="23.125" style="185" customWidth="1"/>
    <col min="13830" max="13830" width="12.875" style="185" customWidth="1"/>
    <col min="13831" max="13831" width="14.875" style="185" customWidth="1"/>
    <col min="13832" max="13832" width="8.875" style="185" customWidth="1"/>
    <col min="13833" max="13833" width="13" style="185" hidden="1" customWidth="1"/>
    <col min="13834" max="13834" width="9.5625" style="185" customWidth="1"/>
    <col min="13835" max="13835" width="6.875" style="185" customWidth="1"/>
    <col min="13836" max="13836" width="13.6875" style="185" customWidth="1"/>
    <col min="13837" max="13837" width="13.125" style="185" customWidth="1"/>
    <col min="13838" max="13838" width="13.875" style="185" customWidth="1"/>
    <col min="13839" max="13839" width="13" style="185" hidden="1" customWidth="1"/>
    <col min="13840" max="13840" width="6" style="185" customWidth="1"/>
    <col min="13841" max="13841" width="13.5625" style="185" customWidth="1"/>
    <col min="13842" max="13844" width="13" style="185" hidden="1" customWidth="1"/>
    <col min="13845" max="13845" width="14.4375" style="185" customWidth="1"/>
    <col min="13846" max="13846" width="6.4375" style="185" customWidth="1"/>
    <col min="13847" max="13847" width="29" style="185" customWidth="1"/>
    <col min="13848" max="13848" width="18" style="185" customWidth="1"/>
    <col min="13849" max="13849" width="21.4375" style="185" customWidth="1"/>
    <col min="13850" max="13850" width="5.4375" style="185" customWidth="1"/>
    <col min="13851" max="13852" width="9.125" style="185" customWidth="1"/>
    <col min="13853" max="13853" width="9.875" style="185" bestFit="1" customWidth="1"/>
    <col min="13854" max="14083" width="9.125" style="185" customWidth="1"/>
    <col min="14084" max="14084" width="4.3125" style="185" customWidth="1"/>
    <col min="14085" max="14085" width="23.125" style="185" customWidth="1"/>
    <col min="14086" max="14086" width="12.875" style="185" customWidth="1"/>
    <col min="14087" max="14087" width="14.875" style="185" customWidth="1"/>
    <col min="14088" max="14088" width="8.875" style="185" customWidth="1"/>
    <col min="14089" max="14089" width="13" style="185" hidden="1" customWidth="1"/>
    <col min="14090" max="14090" width="9.5625" style="185" customWidth="1"/>
    <col min="14091" max="14091" width="6.875" style="185" customWidth="1"/>
    <col min="14092" max="14092" width="13.6875" style="185" customWidth="1"/>
    <col min="14093" max="14093" width="13.125" style="185" customWidth="1"/>
    <col min="14094" max="14094" width="13.875" style="185" customWidth="1"/>
    <col min="14095" max="14095" width="13" style="185" hidden="1" customWidth="1"/>
    <col min="14096" max="14096" width="6" style="185" customWidth="1"/>
    <col min="14097" max="14097" width="13.5625" style="185" customWidth="1"/>
    <col min="14098" max="14100" width="13" style="185" hidden="1" customWidth="1"/>
    <col min="14101" max="14101" width="14.4375" style="185" customWidth="1"/>
    <col min="14102" max="14102" width="6.4375" style="185" customWidth="1"/>
    <col min="14103" max="14103" width="29" style="185" customWidth="1"/>
    <col min="14104" max="14104" width="18" style="185" customWidth="1"/>
    <col min="14105" max="14105" width="21.4375" style="185" customWidth="1"/>
    <col min="14106" max="14106" width="5.4375" style="185" customWidth="1"/>
    <col min="14107" max="14108" width="9.125" style="185" customWidth="1"/>
    <col min="14109" max="14109" width="9.875" style="185" bestFit="1" customWidth="1"/>
    <col min="14110" max="14339" width="9.125" style="185" customWidth="1"/>
    <col min="14340" max="14340" width="4.3125" style="185" customWidth="1"/>
    <col min="14341" max="14341" width="23.125" style="185" customWidth="1"/>
    <col min="14342" max="14342" width="12.875" style="185" customWidth="1"/>
    <col min="14343" max="14343" width="14.875" style="185" customWidth="1"/>
    <col min="14344" max="14344" width="8.875" style="185" customWidth="1"/>
    <col min="14345" max="14345" width="13" style="185" hidden="1" customWidth="1"/>
    <col min="14346" max="14346" width="9.5625" style="185" customWidth="1"/>
    <col min="14347" max="14347" width="6.875" style="185" customWidth="1"/>
    <col min="14348" max="14348" width="13.6875" style="185" customWidth="1"/>
    <col min="14349" max="14349" width="13.125" style="185" customWidth="1"/>
    <col min="14350" max="14350" width="13.875" style="185" customWidth="1"/>
    <col min="14351" max="14351" width="13" style="185" hidden="1" customWidth="1"/>
    <col min="14352" max="14352" width="6" style="185" customWidth="1"/>
    <col min="14353" max="14353" width="13.5625" style="185" customWidth="1"/>
    <col min="14354" max="14356" width="13" style="185" hidden="1" customWidth="1"/>
    <col min="14357" max="14357" width="14.4375" style="185" customWidth="1"/>
    <col min="14358" max="14358" width="6.4375" style="185" customWidth="1"/>
    <col min="14359" max="14359" width="29" style="185" customWidth="1"/>
    <col min="14360" max="14360" width="18" style="185" customWidth="1"/>
    <col min="14361" max="14361" width="21.4375" style="185" customWidth="1"/>
    <col min="14362" max="14362" width="5.4375" style="185" customWidth="1"/>
    <col min="14363" max="14364" width="9.125" style="185" customWidth="1"/>
    <col min="14365" max="14365" width="9.875" style="185" bestFit="1" customWidth="1"/>
    <col min="14366" max="14595" width="9.125" style="185" customWidth="1"/>
    <col min="14596" max="14596" width="4.3125" style="185" customWidth="1"/>
    <col min="14597" max="14597" width="23.125" style="185" customWidth="1"/>
    <col min="14598" max="14598" width="12.875" style="185" customWidth="1"/>
    <col min="14599" max="14599" width="14.875" style="185" customWidth="1"/>
    <col min="14600" max="14600" width="8.875" style="185" customWidth="1"/>
    <col min="14601" max="14601" width="13" style="185" hidden="1" customWidth="1"/>
    <col min="14602" max="14602" width="9.5625" style="185" customWidth="1"/>
    <col min="14603" max="14603" width="6.875" style="185" customWidth="1"/>
    <col min="14604" max="14604" width="13.6875" style="185" customWidth="1"/>
    <col min="14605" max="14605" width="13.125" style="185" customWidth="1"/>
    <col min="14606" max="14606" width="13.875" style="185" customWidth="1"/>
    <col min="14607" max="14607" width="13" style="185" hidden="1" customWidth="1"/>
    <col min="14608" max="14608" width="6" style="185" customWidth="1"/>
    <col min="14609" max="14609" width="13.5625" style="185" customWidth="1"/>
    <col min="14610" max="14612" width="13" style="185" hidden="1" customWidth="1"/>
    <col min="14613" max="14613" width="14.4375" style="185" customWidth="1"/>
    <col min="14614" max="14614" width="6.4375" style="185" customWidth="1"/>
    <col min="14615" max="14615" width="29" style="185" customWidth="1"/>
    <col min="14616" max="14616" width="18" style="185" customWidth="1"/>
    <col min="14617" max="14617" width="21.4375" style="185" customWidth="1"/>
    <col min="14618" max="14618" width="5.4375" style="185" customWidth="1"/>
    <col min="14619" max="14620" width="9.125" style="185" customWidth="1"/>
    <col min="14621" max="14621" width="9.875" style="185" bestFit="1" customWidth="1"/>
    <col min="14622" max="14851" width="9.125" style="185" customWidth="1"/>
    <col min="14852" max="14852" width="4.3125" style="185" customWidth="1"/>
    <col min="14853" max="14853" width="23.125" style="185" customWidth="1"/>
    <col min="14854" max="14854" width="12.875" style="185" customWidth="1"/>
    <col min="14855" max="14855" width="14.875" style="185" customWidth="1"/>
    <col min="14856" max="14856" width="8.875" style="185" customWidth="1"/>
    <col min="14857" max="14857" width="13" style="185" hidden="1" customWidth="1"/>
    <col min="14858" max="14858" width="9.5625" style="185" customWidth="1"/>
    <col min="14859" max="14859" width="6.875" style="185" customWidth="1"/>
    <col min="14860" max="14860" width="13.6875" style="185" customWidth="1"/>
    <col min="14861" max="14861" width="13.125" style="185" customWidth="1"/>
    <col min="14862" max="14862" width="13.875" style="185" customWidth="1"/>
    <col min="14863" max="14863" width="13" style="185" hidden="1" customWidth="1"/>
    <col min="14864" max="14864" width="6" style="185" customWidth="1"/>
    <col min="14865" max="14865" width="13.5625" style="185" customWidth="1"/>
    <col min="14866" max="14868" width="13" style="185" hidden="1" customWidth="1"/>
    <col min="14869" max="14869" width="14.4375" style="185" customWidth="1"/>
    <col min="14870" max="14870" width="6.4375" style="185" customWidth="1"/>
    <col min="14871" max="14871" width="29" style="185" customWidth="1"/>
    <col min="14872" max="14872" width="18" style="185" customWidth="1"/>
    <col min="14873" max="14873" width="21.4375" style="185" customWidth="1"/>
    <col min="14874" max="14874" width="5.4375" style="185" customWidth="1"/>
    <col min="14875" max="14876" width="9.125" style="185" customWidth="1"/>
    <col min="14877" max="14877" width="9.875" style="185" bestFit="1" customWidth="1"/>
    <col min="14878" max="15107" width="9.125" style="185" customWidth="1"/>
    <col min="15108" max="15108" width="4.3125" style="185" customWidth="1"/>
    <col min="15109" max="15109" width="23.125" style="185" customWidth="1"/>
    <col min="15110" max="15110" width="12.875" style="185" customWidth="1"/>
    <col min="15111" max="15111" width="14.875" style="185" customWidth="1"/>
    <col min="15112" max="15112" width="8.875" style="185" customWidth="1"/>
    <col min="15113" max="15113" width="13" style="185" hidden="1" customWidth="1"/>
    <col min="15114" max="15114" width="9.5625" style="185" customWidth="1"/>
    <col min="15115" max="15115" width="6.875" style="185" customWidth="1"/>
    <col min="15116" max="15116" width="13.6875" style="185" customWidth="1"/>
    <col min="15117" max="15117" width="13.125" style="185" customWidth="1"/>
    <col min="15118" max="15118" width="13.875" style="185" customWidth="1"/>
    <col min="15119" max="15119" width="13" style="185" hidden="1" customWidth="1"/>
    <col min="15120" max="15120" width="6" style="185" customWidth="1"/>
    <col min="15121" max="15121" width="13.5625" style="185" customWidth="1"/>
    <col min="15122" max="15124" width="13" style="185" hidden="1" customWidth="1"/>
    <col min="15125" max="15125" width="14.4375" style="185" customWidth="1"/>
    <col min="15126" max="15126" width="6.4375" style="185" customWidth="1"/>
    <col min="15127" max="15127" width="29" style="185" customWidth="1"/>
    <col min="15128" max="15128" width="18" style="185" customWidth="1"/>
    <col min="15129" max="15129" width="21.4375" style="185" customWidth="1"/>
    <col min="15130" max="15130" width="5.4375" style="185" customWidth="1"/>
    <col min="15131" max="15132" width="9.125" style="185" customWidth="1"/>
    <col min="15133" max="15133" width="9.875" style="185" bestFit="1" customWidth="1"/>
    <col min="15134" max="15363" width="9.125" style="185" customWidth="1"/>
    <col min="15364" max="15364" width="4.3125" style="185" customWidth="1"/>
    <col min="15365" max="15365" width="23.125" style="185" customWidth="1"/>
    <col min="15366" max="15366" width="12.875" style="185" customWidth="1"/>
    <col min="15367" max="15367" width="14.875" style="185" customWidth="1"/>
    <col min="15368" max="15368" width="8.875" style="185" customWidth="1"/>
    <col min="15369" max="15369" width="13" style="185" hidden="1" customWidth="1"/>
    <col min="15370" max="15370" width="9.5625" style="185" customWidth="1"/>
    <col min="15371" max="15371" width="6.875" style="185" customWidth="1"/>
    <col min="15372" max="15372" width="13.6875" style="185" customWidth="1"/>
    <col min="15373" max="15373" width="13.125" style="185" customWidth="1"/>
    <col min="15374" max="15374" width="13.875" style="185" customWidth="1"/>
    <col min="15375" max="15375" width="13" style="185" hidden="1" customWidth="1"/>
    <col min="15376" max="15376" width="6" style="185" customWidth="1"/>
    <col min="15377" max="15377" width="13.5625" style="185" customWidth="1"/>
    <col min="15378" max="15380" width="13" style="185" hidden="1" customWidth="1"/>
    <col min="15381" max="15381" width="14.4375" style="185" customWidth="1"/>
    <col min="15382" max="15382" width="6.4375" style="185" customWidth="1"/>
    <col min="15383" max="15383" width="29" style="185" customWidth="1"/>
    <col min="15384" max="15384" width="18" style="185" customWidth="1"/>
    <col min="15385" max="15385" width="21.4375" style="185" customWidth="1"/>
    <col min="15386" max="15386" width="5.4375" style="185" customWidth="1"/>
    <col min="15387" max="15388" width="9.125" style="185" customWidth="1"/>
    <col min="15389" max="15389" width="9.875" style="185" bestFit="1" customWidth="1"/>
    <col min="15390" max="15619" width="9.125" style="185" customWidth="1"/>
    <col min="15620" max="15620" width="4.3125" style="185" customWidth="1"/>
    <col min="15621" max="15621" width="23.125" style="185" customWidth="1"/>
    <col min="15622" max="15622" width="12.875" style="185" customWidth="1"/>
    <col min="15623" max="15623" width="14.875" style="185" customWidth="1"/>
    <col min="15624" max="15624" width="8.875" style="185" customWidth="1"/>
    <col min="15625" max="15625" width="13" style="185" hidden="1" customWidth="1"/>
    <col min="15626" max="15626" width="9.5625" style="185" customWidth="1"/>
    <col min="15627" max="15627" width="6.875" style="185" customWidth="1"/>
    <col min="15628" max="15628" width="13.6875" style="185" customWidth="1"/>
    <col min="15629" max="15629" width="13.125" style="185" customWidth="1"/>
    <col min="15630" max="15630" width="13.875" style="185" customWidth="1"/>
    <col min="15631" max="15631" width="13" style="185" hidden="1" customWidth="1"/>
    <col min="15632" max="15632" width="6" style="185" customWidth="1"/>
    <col min="15633" max="15633" width="13.5625" style="185" customWidth="1"/>
    <col min="15634" max="15636" width="13" style="185" hidden="1" customWidth="1"/>
    <col min="15637" max="15637" width="14.4375" style="185" customWidth="1"/>
    <col min="15638" max="15638" width="6.4375" style="185" customWidth="1"/>
    <col min="15639" max="15639" width="29" style="185" customWidth="1"/>
    <col min="15640" max="15640" width="18" style="185" customWidth="1"/>
    <col min="15641" max="15641" width="21.4375" style="185" customWidth="1"/>
    <col min="15642" max="15642" width="5.4375" style="185" customWidth="1"/>
    <col min="15643" max="15644" width="9.125" style="185" customWidth="1"/>
    <col min="15645" max="15645" width="9.875" style="185" bestFit="1" customWidth="1"/>
    <col min="15646" max="15875" width="9.125" style="185" customWidth="1"/>
    <col min="15876" max="15876" width="4.3125" style="185" customWidth="1"/>
    <col min="15877" max="15877" width="23.125" style="185" customWidth="1"/>
    <col min="15878" max="15878" width="12.875" style="185" customWidth="1"/>
    <col min="15879" max="15879" width="14.875" style="185" customWidth="1"/>
    <col min="15880" max="15880" width="8.875" style="185" customWidth="1"/>
    <col min="15881" max="15881" width="13" style="185" hidden="1" customWidth="1"/>
    <col min="15882" max="15882" width="9.5625" style="185" customWidth="1"/>
    <col min="15883" max="15883" width="6.875" style="185" customWidth="1"/>
    <col min="15884" max="15884" width="13.6875" style="185" customWidth="1"/>
    <col min="15885" max="15885" width="13.125" style="185" customWidth="1"/>
    <col min="15886" max="15886" width="13.875" style="185" customWidth="1"/>
    <col min="15887" max="15887" width="13" style="185" hidden="1" customWidth="1"/>
    <col min="15888" max="15888" width="6" style="185" customWidth="1"/>
    <col min="15889" max="15889" width="13.5625" style="185" customWidth="1"/>
    <col min="15890" max="15892" width="13" style="185" hidden="1" customWidth="1"/>
    <col min="15893" max="15893" width="14.4375" style="185" customWidth="1"/>
    <col min="15894" max="15894" width="6.4375" style="185" customWidth="1"/>
    <col min="15895" max="15895" width="29" style="185" customWidth="1"/>
    <col min="15896" max="15896" width="18" style="185" customWidth="1"/>
    <col min="15897" max="15897" width="21.4375" style="185" customWidth="1"/>
    <col min="15898" max="15898" width="5.4375" style="185" customWidth="1"/>
    <col min="15899" max="15900" width="9.125" style="185" customWidth="1"/>
    <col min="15901" max="15901" width="9.875" style="185" bestFit="1" customWidth="1"/>
    <col min="15902" max="16131" width="9.125" style="185" customWidth="1"/>
    <col min="16132" max="16132" width="4.3125" style="185" customWidth="1"/>
    <col min="16133" max="16133" width="23.125" style="185" customWidth="1"/>
    <col min="16134" max="16134" width="12.875" style="185" customWidth="1"/>
    <col min="16135" max="16135" width="14.875" style="185" customWidth="1"/>
    <col min="16136" max="16136" width="8.875" style="185" customWidth="1"/>
    <col min="16137" max="16137" width="13" style="185" hidden="1" customWidth="1"/>
    <col min="16138" max="16138" width="9.5625" style="185" customWidth="1"/>
    <col min="16139" max="16139" width="6.875" style="185" customWidth="1"/>
    <col min="16140" max="16140" width="13.6875" style="185" customWidth="1"/>
    <col min="16141" max="16141" width="13.125" style="185" customWidth="1"/>
    <col min="16142" max="16142" width="13.875" style="185" customWidth="1"/>
    <col min="16143" max="16143" width="13" style="185" hidden="1" customWidth="1"/>
    <col min="16144" max="16144" width="6" style="185" customWidth="1"/>
    <col min="16145" max="16145" width="13.5625" style="185" customWidth="1"/>
    <col min="16146" max="16148" width="13" style="185" hidden="1" customWidth="1"/>
    <col min="16149" max="16149" width="14.4375" style="185" customWidth="1"/>
    <col min="16150" max="16150" width="6.4375" style="185" customWidth="1"/>
    <col min="16151" max="16151" width="29" style="185" customWidth="1"/>
    <col min="16152" max="16152" width="18" style="185" customWidth="1"/>
    <col min="16153" max="16153" width="21.4375" style="185" customWidth="1"/>
    <col min="16154" max="16154" width="5.4375" style="185" customWidth="1"/>
    <col min="16155" max="16156" width="9.125" style="185" customWidth="1"/>
    <col min="16157" max="16157" width="9.875" style="185" bestFit="1" customWidth="1"/>
    <col min="16158" max="16384" width="9.125" style="185" customWidth="1"/>
  </cols>
  <sheetData>
    <row r="1" spans="1:25" ht="7.5" customHeight="1" x14ac:dyDescent="0.3"/>
    <row r="2" spans="1:25" x14ac:dyDescent="0.3">
      <c r="A2" s="328" t="s">
        <v>143</v>
      </c>
      <c r="B2" s="319"/>
      <c r="C2" s="320"/>
      <c r="D2" s="321"/>
      <c r="E2" s="322"/>
      <c r="F2" s="323"/>
      <c r="G2" s="323"/>
      <c r="H2" s="323"/>
      <c r="I2" s="193"/>
      <c r="J2" s="328" t="s">
        <v>144</v>
      </c>
      <c r="K2" s="323"/>
      <c r="L2" s="324"/>
      <c r="M2" s="323"/>
      <c r="N2" s="325"/>
      <c r="O2" s="323"/>
      <c r="P2" s="324"/>
      <c r="Q2" s="323"/>
      <c r="R2" s="326"/>
      <c r="S2" s="323"/>
      <c r="T2" s="323"/>
      <c r="U2" s="320"/>
      <c r="V2" s="194"/>
    </row>
    <row r="3" spans="1:25" ht="9" customHeight="1" x14ac:dyDescent="0.3">
      <c r="A3" s="329"/>
      <c r="B3" s="319"/>
      <c r="C3" s="320"/>
      <c r="D3" s="321"/>
      <c r="E3" s="322"/>
      <c r="F3" s="323"/>
      <c r="G3" s="323"/>
      <c r="H3" s="323"/>
      <c r="I3" s="193"/>
      <c r="J3" s="323"/>
      <c r="K3" s="323"/>
      <c r="L3" s="324"/>
      <c r="M3" s="323"/>
      <c r="N3" s="325"/>
      <c r="O3" s="323"/>
      <c r="P3" s="324"/>
      <c r="Q3" s="323"/>
      <c r="R3" s="326"/>
      <c r="S3" s="323"/>
      <c r="T3" s="323"/>
      <c r="U3" s="320"/>
      <c r="V3" s="194"/>
    </row>
    <row r="4" spans="1:25" ht="14.25" customHeight="1" x14ac:dyDescent="0.3">
      <c r="A4" s="329"/>
      <c r="B4" s="319"/>
      <c r="C4" s="320"/>
      <c r="D4" s="321"/>
      <c r="E4" s="322"/>
      <c r="F4" s="323"/>
      <c r="G4" s="323"/>
      <c r="H4" s="323"/>
      <c r="I4" s="193"/>
      <c r="J4" s="323"/>
      <c r="K4" s="323"/>
      <c r="L4" s="324"/>
      <c r="M4" s="323"/>
      <c r="N4" s="325"/>
      <c r="O4" s="323"/>
      <c r="P4" s="324"/>
      <c r="Q4" s="323"/>
      <c r="R4" s="326"/>
      <c r="S4" s="323"/>
      <c r="T4" s="323"/>
      <c r="U4" s="320"/>
      <c r="V4" s="194"/>
    </row>
    <row r="5" spans="1:25" ht="35.25" customHeight="1" x14ac:dyDescent="0.3">
      <c r="A5" s="318" t="s">
        <v>145</v>
      </c>
      <c r="B5" s="319"/>
      <c r="C5" s="320"/>
      <c r="D5" s="321"/>
      <c r="E5" s="322"/>
      <c r="F5" s="323"/>
      <c r="G5" s="323"/>
      <c r="H5" s="323"/>
      <c r="I5" s="323"/>
      <c r="J5" s="323"/>
      <c r="K5" s="323"/>
      <c r="L5" s="324"/>
      <c r="M5" s="323"/>
      <c r="N5" s="325"/>
      <c r="O5" s="323"/>
      <c r="P5" s="324"/>
      <c r="Q5" s="323"/>
      <c r="R5" s="326"/>
      <c r="S5" s="323"/>
      <c r="T5" s="323"/>
      <c r="U5" s="320"/>
      <c r="V5" s="173"/>
    </row>
    <row r="6" spans="1:25" s="173" customFormat="1" ht="19.5" customHeight="1" x14ac:dyDescent="0.35">
      <c r="A6" s="316" t="s">
        <v>0</v>
      </c>
      <c r="B6" s="316" t="s">
        <v>146</v>
      </c>
      <c r="C6" s="327" t="s">
        <v>147</v>
      </c>
      <c r="D6" s="314" t="s">
        <v>27</v>
      </c>
      <c r="E6" s="327" t="s">
        <v>148</v>
      </c>
      <c r="F6" s="330" t="s">
        <v>149</v>
      </c>
      <c r="G6" s="279"/>
      <c r="H6" s="280"/>
      <c r="I6" s="315" t="s">
        <v>99</v>
      </c>
      <c r="J6" s="279"/>
      <c r="K6" s="279"/>
      <c r="L6" s="279"/>
      <c r="M6" s="280"/>
      <c r="N6" s="315" t="s">
        <v>150</v>
      </c>
      <c r="O6" s="315" t="s">
        <v>116</v>
      </c>
      <c r="P6" s="279"/>
      <c r="Q6" s="279"/>
      <c r="R6" s="279"/>
      <c r="S6" s="280"/>
      <c r="T6" s="315" t="s">
        <v>151</v>
      </c>
      <c r="U6" s="327" t="s">
        <v>152</v>
      </c>
      <c r="W6" s="327" t="s">
        <v>153</v>
      </c>
      <c r="X6" s="197"/>
    </row>
    <row r="7" spans="1:25" s="173" customFormat="1" ht="32.25" customHeight="1" x14ac:dyDescent="0.35">
      <c r="A7" s="304"/>
      <c r="B7" s="304"/>
      <c r="C7" s="304"/>
      <c r="D7" s="304"/>
      <c r="E7" s="304"/>
      <c r="F7" s="198" t="s">
        <v>154</v>
      </c>
      <c r="G7" s="198" t="s">
        <v>155</v>
      </c>
      <c r="H7" s="198" t="s">
        <v>156</v>
      </c>
      <c r="I7" s="198" t="s">
        <v>157</v>
      </c>
      <c r="J7" s="198" t="s">
        <v>158</v>
      </c>
      <c r="K7" s="198" t="s">
        <v>159</v>
      </c>
      <c r="L7" s="199" t="s">
        <v>160</v>
      </c>
      <c r="M7" s="198" t="s">
        <v>161</v>
      </c>
      <c r="N7" s="304"/>
      <c r="O7" s="198" t="s">
        <v>127</v>
      </c>
      <c r="P7" s="199" t="s">
        <v>162</v>
      </c>
      <c r="Q7" s="198" t="s">
        <v>163</v>
      </c>
      <c r="R7" s="198" t="s">
        <v>164</v>
      </c>
      <c r="S7" s="198" t="s">
        <v>165</v>
      </c>
      <c r="T7" s="304"/>
      <c r="U7" s="304"/>
      <c r="W7" s="304"/>
      <c r="X7" s="197"/>
    </row>
    <row r="8" spans="1:25" s="154" customFormat="1" ht="18.75" customHeight="1" x14ac:dyDescent="0.35">
      <c r="A8" s="195" t="s">
        <v>166</v>
      </c>
      <c r="B8" s="175" t="s">
        <v>167</v>
      </c>
      <c r="C8" s="195"/>
      <c r="D8" s="196"/>
      <c r="E8" s="195"/>
      <c r="F8" s="133"/>
      <c r="G8" s="133"/>
      <c r="H8" s="147"/>
      <c r="I8" s="147"/>
      <c r="J8" s="147"/>
      <c r="K8" s="147"/>
      <c r="L8" s="150"/>
      <c r="M8" s="147"/>
      <c r="N8" s="133"/>
      <c r="O8" s="147"/>
      <c r="P8" s="150"/>
      <c r="Q8" s="147"/>
      <c r="R8" s="151"/>
      <c r="S8" s="147"/>
      <c r="T8" s="133"/>
      <c r="U8" s="170"/>
      <c r="V8" s="173"/>
      <c r="W8" s="171"/>
      <c r="X8" s="153">
        <f>'[1]chi tiết lương từng người '!J29</f>
        <v>0</v>
      </c>
      <c r="Y8" s="174">
        <f>T8-X8</f>
        <v>0</v>
      </c>
    </row>
    <row r="9" spans="1:25" s="261" customFormat="1" ht="23.25" customHeight="1" x14ac:dyDescent="0.35">
      <c r="A9" s="249">
        <v>1</v>
      </c>
      <c r="B9" s="250" t="s">
        <v>168</v>
      </c>
      <c r="C9" s="249"/>
      <c r="D9" s="250" t="s">
        <v>169</v>
      </c>
      <c r="E9" s="249" t="s">
        <v>170</v>
      </c>
      <c r="F9" s="251" t="e">
        <f>#REF!</f>
        <v>#REF!</v>
      </c>
      <c r="G9" s="251"/>
      <c r="H9" s="252"/>
      <c r="I9" s="252"/>
      <c r="J9" s="252"/>
      <c r="K9" s="252"/>
      <c r="L9" s="253">
        <v>4.5</v>
      </c>
      <c r="M9" s="252" t="e">
        <f>F9/26*L9</f>
        <v>#REF!</v>
      </c>
      <c r="N9" s="254" t="e">
        <f t="shared" ref="N9:N25" si="0">SUM(F9:K9)+M9</f>
        <v>#REF!</v>
      </c>
      <c r="O9" s="252"/>
      <c r="P9" s="253"/>
      <c r="Q9" s="252"/>
      <c r="R9" s="255"/>
      <c r="S9" s="252"/>
      <c r="T9" s="254" t="e">
        <f t="shared" ref="T9:T25" si="1">N9-O9-Q9-R9-S9</f>
        <v>#REF!</v>
      </c>
      <c r="U9" s="256"/>
      <c r="V9" s="257"/>
      <c r="W9" s="258"/>
      <c r="X9" s="259">
        <f>'[1]chi tiết lương từng người '!K29</f>
        <v>0</v>
      </c>
      <c r="Y9" s="260" t="e">
        <f>T9-X9</f>
        <v>#REF!</v>
      </c>
    </row>
    <row r="10" spans="1:25" s="261" customFormat="1" ht="23.25" customHeight="1" x14ac:dyDescent="0.35">
      <c r="A10" s="249">
        <v>2</v>
      </c>
      <c r="B10" s="250" t="s">
        <v>171</v>
      </c>
      <c r="C10" s="249"/>
      <c r="D10" s="250" t="s">
        <v>169</v>
      </c>
      <c r="E10" s="249"/>
      <c r="F10" s="251" t="e">
        <f>#REF!</f>
        <v>#REF!</v>
      </c>
      <c r="G10" s="251"/>
      <c r="H10" s="252"/>
      <c r="I10" s="252"/>
      <c r="J10" s="252"/>
      <c r="K10" s="252"/>
      <c r="L10" s="253"/>
      <c r="M10" s="252"/>
      <c r="N10" s="254" t="e">
        <f t="shared" si="0"/>
        <v>#REF!</v>
      </c>
      <c r="O10" s="252"/>
      <c r="P10" s="253"/>
      <c r="Q10" s="252"/>
      <c r="R10" s="255"/>
      <c r="S10" s="252"/>
      <c r="T10" s="254" t="e">
        <f t="shared" si="1"/>
        <v>#REF!</v>
      </c>
      <c r="U10" s="256"/>
      <c r="V10" s="257"/>
      <c r="W10" s="258"/>
      <c r="X10" s="259">
        <f>'[1]chi tiết lương từng người '!C29</f>
        <v>1076923.076923077</v>
      </c>
      <c r="Y10" s="260" t="e">
        <f>T10-X10</f>
        <v>#REF!</v>
      </c>
    </row>
    <row r="11" spans="1:25" s="261" customFormat="1" ht="23.25" customHeight="1" x14ac:dyDescent="0.35">
      <c r="A11" s="249">
        <v>3</v>
      </c>
      <c r="B11" s="250" t="s">
        <v>172</v>
      </c>
      <c r="C11" s="249" t="s">
        <v>173</v>
      </c>
      <c r="D11" s="250" t="s">
        <v>169</v>
      </c>
      <c r="E11" s="249"/>
      <c r="F11" s="251" t="e">
        <f>#REF!</f>
        <v>#REF!</v>
      </c>
      <c r="G11" s="251"/>
      <c r="H11" s="252"/>
      <c r="I11" s="252"/>
      <c r="J11" s="252"/>
      <c r="K11" s="252"/>
      <c r="L11" s="253"/>
      <c r="M11" s="252"/>
      <c r="N11" s="254" t="e">
        <f t="shared" si="0"/>
        <v>#REF!</v>
      </c>
      <c r="O11" s="252"/>
      <c r="P11" s="253">
        <v>16</v>
      </c>
      <c r="Q11" s="252" t="e">
        <f>F11/26*P11</f>
        <v>#REF!</v>
      </c>
      <c r="R11" s="255"/>
      <c r="S11" s="252"/>
      <c r="T11" s="254" t="e">
        <f t="shared" si="1"/>
        <v>#REF!</v>
      </c>
      <c r="U11" s="256" t="s">
        <v>174</v>
      </c>
      <c r="V11" s="257" t="s">
        <v>175</v>
      </c>
      <c r="W11" s="258"/>
      <c r="X11" s="259"/>
      <c r="Y11" s="260"/>
    </row>
    <row r="12" spans="1:25" s="261" customFormat="1" ht="23.25" customHeight="1" x14ac:dyDescent="0.35">
      <c r="A12" s="249">
        <v>4</v>
      </c>
      <c r="B12" s="250" t="s">
        <v>176</v>
      </c>
      <c r="C12" s="249"/>
      <c r="D12" s="250" t="s">
        <v>177</v>
      </c>
      <c r="E12" s="249">
        <v>26</v>
      </c>
      <c r="F12" s="251" t="e">
        <f>#REF!</f>
        <v>#REF!</v>
      </c>
      <c r="G12" s="251" t="e">
        <f>#REF!</f>
        <v>#REF!</v>
      </c>
      <c r="H12" s="252"/>
      <c r="I12" s="252"/>
      <c r="J12" s="252"/>
      <c r="K12" s="252"/>
      <c r="L12" s="253"/>
      <c r="M12" s="252"/>
      <c r="N12" s="254" t="e">
        <f t="shared" si="0"/>
        <v>#REF!</v>
      </c>
      <c r="O12" s="252"/>
      <c r="P12" s="253" t="e">
        <f>#REF!</f>
        <v>#REF!</v>
      </c>
      <c r="Q12" s="252" t="e">
        <f>(F12+G12)/E12*P12</f>
        <v>#REF!</v>
      </c>
      <c r="R12" s="255"/>
      <c r="S12" s="252"/>
      <c r="T12" s="254" t="e">
        <f t="shared" si="1"/>
        <v>#REF!</v>
      </c>
      <c r="U12" s="256"/>
      <c r="V12" s="257"/>
      <c r="W12" s="258"/>
      <c r="X12" s="259">
        <f>'[1]chi tiết lương từng người '!L29</f>
        <v>0</v>
      </c>
      <c r="Y12" s="260" t="e">
        <f>T12-X12</f>
        <v>#REF!</v>
      </c>
    </row>
    <row r="13" spans="1:25" s="261" customFormat="1" ht="23.25" customHeight="1" x14ac:dyDescent="0.35">
      <c r="A13" s="249">
        <v>5</v>
      </c>
      <c r="B13" s="250" t="s">
        <v>178</v>
      </c>
      <c r="C13" s="249"/>
      <c r="D13" s="250" t="s">
        <v>179</v>
      </c>
      <c r="E13" s="249">
        <v>26</v>
      </c>
      <c r="F13" s="251" t="e">
        <f>#REF!</f>
        <v>#REF!</v>
      </c>
      <c r="G13" s="251"/>
      <c r="H13" s="252"/>
      <c r="I13" s="252"/>
      <c r="J13" s="252"/>
      <c r="K13" s="252"/>
      <c r="L13" s="253"/>
      <c r="M13" s="252"/>
      <c r="N13" s="254" t="e">
        <f t="shared" si="0"/>
        <v>#REF!</v>
      </c>
      <c r="O13" s="252"/>
      <c r="P13" s="253"/>
      <c r="Q13" s="252"/>
      <c r="R13" s="255"/>
      <c r="S13" s="252"/>
      <c r="T13" s="254" t="e">
        <f t="shared" si="1"/>
        <v>#REF!</v>
      </c>
      <c r="U13" s="256"/>
      <c r="V13" s="257"/>
      <c r="W13" s="258"/>
      <c r="X13" s="259">
        <f>'[1]chi tiết lương từng người '!M29</f>
        <v>0</v>
      </c>
      <c r="Y13" s="260" t="e">
        <f>T13-X13</f>
        <v>#REF!</v>
      </c>
    </row>
    <row r="14" spans="1:25" s="261" customFormat="1" ht="23.25" customHeight="1" x14ac:dyDescent="0.35">
      <c r="A14" s="249">
        <v>6</v>
      </c>
      <c r="B14" s="250" t="s">
        <v>180</v>
      </c>
      <c r="C14" s="249"/>
      <c r="D14" s="250" t="s">
        <v>181</v>
      </c>
      <c r="E14" s="249"/>
      <c r="F14" s="251" t="e">
        <f>#REF!</f>
        <v>#REF!</v>
      </c>
      <c r="G14" s="251"/>
      <c r="H14" s="252"/>
      <c r="I14" s="252" t="e">
        <f>#REF!</f>
        <v>#REF!</v>
      </c>
      <c r="J14" s="252" t="e">
        <f>#REF!</f>
        <v>#REF!</v>
      </c>
      <c r="K14" s="252"/>
      <c r="L14" s="253"/>
      <c r="M14" s="252"/>
      <c r="N14" s="254" t="e">
        <f t="shared" si="0"/>
        <v>#REF!</v>
      </c>
      <c r="O14" s="252"/>
      <c r="P14" s="253"/>
      <c r="Q14" s="252"/>
      <c r="R14" s="255"/>
      <c r="S14" s="252"/>
      <c r="T14" s="254" t="e">
        <f t="shared" si="1"/>
        <v>#REF!</v>
      </c>
      <c r="U14" s="256"/>
      <c r="V14" s="257" t="s">
        <v>182</v>
      </c>
      <c r="W14" s="258"/>
      <c r="X14" s="259" t="e">
        <f>'[1]chi tiết lương từng người '!O29</f>
        <v>#REF!</v>
      </c>
      <c r="Y14" s="260"/>
    </row>
    <row r="15" spans="1:25" s="261" customFormat="1" ht="23.25" customHeight="1" x14ac:dyDescent="0.35">
      <c r="A15" s="249">
        <v>7</v>
      </c>
      <c r="B15" s="250" t="s">
        <v>183</v>
      </c>
      <c r="C15" s="249"/>
      <c r="D15" s="250" t="s">
        <v>184</v>
      </c>
      <c r="E15" s="249">
        <v>26</v>
      </c>
      <c r="F15" s="251" t="e">
        <f>#REF!</f>
        <v>#REF!</v>
      </c>
      <c r="G15" s="251"/>
      <c r="H15" s="252"/>
      <c r="I15" s="252"/>
      <c r="J15" s="252" t="e">
        <f>#REF!</f>
        <v>#REF!</v>
      </c>
      <c r="K15" s="252"/>
      <c r="L15" s="262">
        <f>2.5+2.25</f>
        <v>4.75</v>
      </c>
      <c r="M15" s="252" t="e">
        <f>F15/E15*L15</f>
        <v>#REF!</v>
      </c>
      <c r="N15" s="254" t="e">
        <f t="shared" si="0"/>
        <v>#REF!</v>
      </c>
      <c r="O15" s="252"/>
      <c r="P15" s="253" t="e">
        <f>#REF!</f>
        <v>#REF!</v>
      </c>
      <c r="Q15" s="252" t="e">
        <f>F15/E15*P15</f>
        <v>#REF!</v>
      </c>
      <c r="R15" s="255"/>
      <c r="S15" s="252"/>
      <c r="T15" s="254" t="e">
        <f t="shared" si="1"/>
        <v>#REF!</v>
      </c>
      <c r="U15" s="263"/>
      <c r="V15" s="256" t="s">
        <v>185</v>
      </c>
      <c r="W15" s="264"/>
      <c r="X15" s="259"/>
    </row>
    <row r="16" spans="1:25" s="261" customFormat="1" ht="23.25" customHeight="1" x14ac:dyDescent="0.35">
      <c r="A16" s="249">
        <v>8</v>
      </c>
      <c r="B16" s="250" t="s">
        <v>186</v>
      </c>
      <c r="C16" s="249"/>
      <c r="D16" s="250" t="s">
        <v>184</v>
      </c>
      <c r="E16" s="249">
        <v>26</v>
      </c>
      <c r="F16" s="251">
        <v>6500000</v>
      </c>
      <c r="G16" s="251"/>
      <c r="H16" s="252"/>
      <c r="I16" s="252"/>
      <c r="J16" s="252" t="e">
        <f>#REF!</f>
        <v>#REF!</v>
      </c>
      <c r="K16" s="252"/>
      <c r="L16" s="262"/>
      <c r="M16" s="252"/>
      <c r="N16" s="254" t="e">
        <f t="shared" si="0"/>
        <v>#REF!</v>
      </c>
      <c r="O16" s="252"/>
      <c r="P16" s="253"/>
      <c r="Q16" s="252"/>
      <c r="R16" s="255"/>
      <c r="S16" s="252"/>
      <c r="T16" s="254" t="e">
        <f t="shared" si="1"/>
        <v>#REF!</v>
      </c>
      <c r="U16" s="263"/>
      <c r="V16" s="256" t="s">
        <v>187</v>
      </c>
      <c r="W16" s="264"/>
      <c r="X16" s="259"/>
    </row>
    <row r="17" spans="1:25" s="261" customFormat="1" ht="23.25" customHeight="1" x14ac:dyDescent="0.35">
      <c r="A17" s="249">
        <v>9</v>
      </c>
      <c r="B17" s="250" t="s">
        <v>188</v>
      </c>
      <c r="C17" s="249" t="s">
        <v>173</v>
      </c>
      <c r="D17" s="249" t="s">
        <v>189</v>
      </c>
      <c r="E17" s="249">
        <v>29</v>
      </c>
      <c r="F17" s="251" t="e">
        <f>#REF!</f>
        <v>#REF!</v>
      </c>
      <c r="G17" s="251"/>
      <c r="H17" s="252"/>
      <c r="I17" s="252"/>
      <c r="J17" s="252"/>
      <c r="K17" s="252" t="e">
        <f>SUM(#REF!)</f>
        <v>#REF!</v>
      </c>
      <c r="L17" s="253" t="e">
        <f>#REF!</f>
        <v>#REF!</v>
      </c>
      <c r="M17" s="252" t="e">
        <f>F17/E17*L17</f>
        <v>#REF!</v>
      </c>
      <c r="N17" s="254" t="e">
        <f t="shared" si="0"/>
        <v>#REF!</v>
      </c>
      <c r="O17" s="252"/>
      <c r="P17" s="253"/>
      <c r="Q17" s="252"/>
      <c r="R17" s="255"/>
      <c r="S17" s="252"/>
      <c r="T17" s="254" t="e">
        <f t="shared" si="1"/>
        <v>#REF!</v>
      </c>
      <c r="U17" s="249"/>
      <c r="V17" s="257"/>
      <c r="W17" s="264"/>
      <c r="X17" s="259"/>
    </row>
    <row r="18" spans="1:25" s="261" customFormat="1" ht="23.25" customHeight="1" x14ac:dyDescent="0.35">
      <c r="A18" s="249">
        <v>10</v>
      </c>
      <c r="B18" s="250" t="s">
        <v>190</v>
      </c>
      <c r="C18" s="249" t="s">
        <v>173</v>
      </c>
      <c r="D18" s="249" t="s">
        <v>189</v>
      </c>
      <c r="E18" s="249">
        <v>29</v>
      </c>
      <c r="F18" s="251" t="e">
        <f>#REF!</f>
        <v>#REF!</v>
      </c>
      <c r="G18" s="251" t="e">
        <f>#REF!+#REF!</f>
        <v>#REF!</v>
      </c>
      <c r="H18" s="252"/>
      <c r="I18" s="252"/>
      <c r="J18" s="252"/>
      <c r="K18" s="252" t="e">
        <f>SUM(#REF!)</f>
        <v>#REF!</v>
      </c>
      <c r="L18" s="253" t="e">
        <f>#REF!</f>
        <v>#REF!</v>
      </c>
      <c r="M18" s="252" t="e">
        <f>F18/E18*L18</f>
        <v>#REF!</v>
      </c>
      <c r="N18" s="254" t="e">
        <f t="shared" si="0"/>
        <v>#REF!</v>
      </c>
      <c r="O18" s="252"/>
      <c r="P18" s="253"/>
      <c r="Q18" s="252"/>
      <c r="R18" s="255"/>
      <c r="S18" s="252"/>
      <c r="T18" s="254" t="e">
        <f t="shared" si="1"/>
        <v>#REF!</v>
      </c>
      <c r="U18" s="249"/>
      <c r="V18" s="257"/>
      <c r="W18" s="264"/>
      <c r="X18" s="259"/>
    </row>
    <row r="19" spans="1:25" s="261" customFormat="1" ht="23.25" customHeight="1" x14ac:dyDescent="0.35">
      <c r="A19" s="249">
        <v>11</v>
      </c>
      <c r="B19" s="250" t="s">
        <v>191</v>
      </c>
      <c r="C19" s="249"/>
      <c r="D19" s="250" t="s">
        <v>192</v>
      </c>
      <c r="E19" s="249">
        <v>26</v>
      </c>
      <c r="F19" s="251" t="e">
        <f>#REF!</f>
        <v>#REF!</v>
      </c>
      <c r="G19" s="251"/>
      <c r="H19" s="252"/>
      <c r="I19" s="252"/>
      <c r="J19" s="252" t="e">
        <f>#REF!</f>
        <v>#REF!</v>
      </c>
      <c r="K19" s="252" t="e">
        <f>#REF!</f>
        <v>#REF!</v>
      </c>
      <c r="L19" s="253">
        <v>0.5</v>
      </c>
      <c r="M19" s="252" t="e">
        <f>F19/E19*L19</f>
        <v>#REF!</v>
      </c>
      <c r="N19" s="254" t="e">
        <f t="shared" si="0"/>
        <v>#REF!</v>
      </c>
      <c r="O19" s="252"/>
      <c r="P19" s="253"/>
      <c r="Q19" s="252"/>
      <c r="R19" s="255"/>
      <c r="S19" s="252"/>
      <c r="T19" s="254" t="e">
        <f t="shared" si="1"/>
        <v>#REF!</v>
      </c>
      <c r="U19" s="249"/>
      <c r="V19" s="257"/>
      <c r="W19" s="264"/>
      <c r="X19" s="259"/>
    </row>
    <row r="20" spans="1:25" s="261" customFormat="1" ht="23.25" customHeight="1" x14ac:dyDescent="0.35">
      <c r="A20" s="249">
        <v>12</v>
      </c>
      <c r="B20" s="250" t="s">
        <v>193</v>
      </c>
      <c r="C20" s="249"/>
      <c r="D20" s="250" t="s">
        <v>194</v>
      </c>
      <c r="E20" s="249">
        <v>26</v>
      </c>
      <c r="F20" s="251" t="e">
        <f>#REF!</f>
        <v>#REF!</v>
      </c>
      <c r="G20" s="251"/>
      <c r="H20" s="252"/>
      <c r="I20" s="252"/>
      <c r="J20" s="252"/>
      <c r="K20" s="252"/>
      <c r="L20" s="253">
        <v>1.5</v>
      </c>
      <c r="M20" s="252" t="e">
        <f>F20/E20*L20</f>
        <v>#REF!</v>
      </c>
      <c r="N20" s="254" t="e">
        <f t="shared" si="0"/>
        <v>#REF!</v>
      </c>
      <c r="O20" s="252"/>
      <c r="P20" s="253"/>
      <c r="Q20" s="252"/>
      <c r="R20" s="255"/>
      <c r="S20" s="252"/>
      <c r="T20" s="254" t="e">
        <f t="shared" si="1"/>
        <v>#REF!</v>
      </c>
      <c r="U20" s="249"/>
      <c r="V20" s="257"/>
      <c r="W20" s="264"/>
      <c r="X20" s="259"/>
    </row>
    <row r="21" spans="1:25" s="261" customFormat="1" ht="23.25" customHeight="1" x14ac:dyDescent="0.35">
      <c r="A21" s="249">
        <v>13</v>
      </c>
      <c r="B21" s="250" t="s">
        <v>195</v>
      </c>
      <c r="C21" s="249"/>
      <c r="D21" s="250" t="s">
        <v>194</v>
      </c>
      <c r="E21" s="249">
        <v>26</v>
      </c>
      <c r="F21" s="265" t="e">
        <f>#REF!</f>
        <v>#REF!</v>
      </c>
      <c r="G21" s="251"/>
      <c r="H21" s="252"/>
      <c r="I21" s="252"/>
      <c r="J21" s="252"/>
      <c r="K21" s="252"/>
      <c r="L21" s="262">
        <f>3.75+0.5</f>
        <v>4.25</v>
      </c>
      <c r="M21" s="252" t="e">
        <f>F21/E21*L21</f>
        <v>#REF!</v>
      </c>
      <c r="N21" s="254" t="e">
        <f t="shared" si="0"/>
        <v>#REF!</v>
      </c>
      <c r="O21" s="252"/>
      <c r="P21" s="253" t="e">
        <f>#REF!</f>
        <v>#REF!</v>
      </c>
      <c r="Q21" s="252" t="e">
        <f>F21/E21*P21</f>
        <v>#REF!</v>
      </c>
      <c r="R21" s="255"/>
      <c r="S21" s="252"/>
      <c r="T21" s="254" t="e">
        <f t="shared" si="1"/>
        <v>#REF!</v>
      </c>
      <c r="U21" s="249"/>
      <c r="V21" s="266">
        <v>46076</v>
      </c>
      <c r="W21" s="264"/>
      <c r="X21" s="259"/>
    </row>
    <row r="22" spans="1:25" s="261" customFormat="1" ht="23.25" customHeight="1" x14ac:dyDescent="0.35">
      <c r="A22" s="249">
        <v>14</v>
      </c>
      <c r="B22" s="250" t="s">
        <v>196</v>
      </c>
      <c r="C22" s="249"/>
      <c r="D22" s="250" t="s">
        <v>197</v>
      </c>
      <c r="E22" s="249">
        <v>29</v>
      </c>
      <c r="F22" s="251" t="e">
        <f>#REF!</f>
        <v>#REF!</v>
      </c>
      <c r="G22" s="251" t="e">
        <f>#REF!</f>
        <v>#REF!</v>
      </c>
      <c r="H22" s="252"/>
      <c r="I22" s="252"/>
      <c r="J22" s="252" t="e">
        <f>#REF!</f>
        <v>#REF!</v>
      </c>
      <c r="K22" s="252" t="e">
        <f>F22/E22*30%*1</f>
        <v>#REF!</v>
      </c>
      <c r="L22" s="253"/>
      <c r="M22" s="252"/>
      <c r="N22" s="254" t="e">
        <f t="shared" si="0"/>
        <v>#REF!</v>
      </c>
      <c r="O22" s="252"/>
      <c r="P22" s="253"/>
      <c r="Q22" s="252"/>
      <c r="R22" s="255"/>
      <c r="S22" s="252"/>
      <c r="T22" s="254" t="e">
        <f t="shared" si="1"/>
        <v>#REF!</v>
      </c>
      <c r="U22" s="249"/>
      <c r="V22" s="257"/>
      <c r="W22" s="264"/>
      <c r="X22" s="259"/>
    </row>
    <row r="23" spans="1:25" s="261" customFormat="1" ht="23.25" customHeight="1" x14ac:dyDescent="0.35">
      <c r="A23" s="249">
        <v>15</v>
      </c>
      <c r="B23" s="250" t="s">
        <v>198</v>
      </c>
      <c r="C23" s="249"/>
      <c r="D23" s="250" t="s">
        <v>197</v>
      </c>
      <c r="E23" s="249">
        <v>29</v>
      </c>
      <c r="F23" s="251" t="e">
        <f>#REF!</f>
        <v>#REF!</v>
      </c>
      <c r="G23" s="251" t="e">
        <f>#REF!</f>
        <v>#REF!</v>
      </c>
      <c r="H23" s="252"/>
      <c r="I23" s="252"/>
      <c r="J23" s="252" t="e">
        <f>#REF!</f>
        <v>#REF!</v>
      </c>
      <c r="K23" s="252"/>
      <c r="L23" s="253"/>
      <c r="M23" s="252"/>
      <c r="N23" s="254" t="e">
        <f t="shared" si="0"/>
        <v>#REF!</v>
      </c>
      <c r="O23" s="252"/>
      <c r="P23" s="253"/>
      <c r="Q23" s="252"/>
      <c r="R23" s="255"/>
      <c r="S23" s="252"/>
      <c r="T23" s="254" t="e">
        <f t="shared" si="1"/>
        <v>#REF!</v>
      </c>
      <c r="U23" s="249"/>
      <c r="V23" s="257"/>
      <c r="W23" s="264"/>
      <c r="X23" s="259"/>
    </row>
    <row r="24" spans="1:25" s="261" customFormat="1" ht="23.25" customHeight="1" x14ac:dyDescent="0.35">
      <c r="A24" s="249">
        <v>16</v>
      </c>
      <c r="B24" s="250" t="s">
        <v>199</v>
      </c>
      <c r="C24" s="249"/>
      <c r="D24" s="250" t="s">
        <v>200</v>
      </c>
      <c r="E24" s="249">
        <v>26</v>
      </c>
      <c r="F24" s="251" t="e">
        <f>#REF!</f>
        <v>#REF!</v>
      </c>
      <c r="G24" s="251"/>
      <c r="H24" s="252"/>
      <c r="I24" s="252"/>
      <c r="J24" s="252" t="e">
        <f>#REF!</f>
        <v>#REF!</v>
      </c>
      <c r="K24" s="252" t="e">
        <f>SUM(#REF!)</f>
        <v>#REF!</v>
      </c>
      <c r="L24" s="253"/>
      <c r="M24" s="252" t="e">
        <f>F24/E24*L24</f>
        <v>#REF!</v>
      </c>
      <c r="N24" s="254" t="e">
        <f t="shared" si="0"/>
        <v>#REF!</v>
      </c>
      <c r="O24" s="252"/>
      <c r="P24" s="253">
        <v>5</v>
      </c>
      <c r="Q24" s="252" t="e">
        <f>F24/E24*P24</f>
        <v>#REF!</v>
      </c>
      <c r="R24" s="255"/>
      <c r="S24" s="252"/>
      <c r="T24" s="254" t="e">
        <f t="shared" si="1"/>
        <v>#REF!</v>
      </c>
      <c r="U24" s="249"/>
      <c r="V24" s="267"/>
      <c r="W24" s="264"/>
      <c r="X24" s="259"/>
    </row>
    <row r="25" spans="1:25" s="261" customFormat="1" ht="23.25" customHeight="1" x14ac:dyDescent="0.35">
      <c r="A25" s="249">
        <v>17</v>
      </c>
      <c r="B25" s="250" t="s">
        <v>201</v>
      </c>
      <c r="C25" s="249"/>
      <c r="D25" s="250" t="s">
        <v>202</v>
      </c>
      <c r="E25" s="249"/>
      <c r="F25" s="251">
        <v>7000000</v>
      </c>
      <c r="H25" s="252"/>
      <c r="I25" s="252"/>
      <c r="J25" s="252"/>
      <c r="K25" s="252"/>
      <c r="L25" s="253"/>
      <c r="M25" s="252"/>
      <c r="N25" s="254">
        <f t="shared" si="0"/>
        <v>7000000</v>
      </c>
      <c r="O25" s="252"/>
      <c r="P25" s="253">
        <v>20.5</v>
      </c>
      <c r="Q25" s="252">
        <f>F25/26*P25</f>
        <v>5519230.7692307699</v>
      </c>
      <c r="R25" s="255"/>
      <c r="S25" s="252"/>
      <c r="T25" s="254">
        <f t="shared" si="1"/>
        <v>1480769.2307692301</v>
      </c>
      <c r="U25" s="249" t="s">
        <v>203</v>
      </c>
      <c r="V25" s="257" t="s">
        <v>204</v>
      </c>
      <c r="W25" s="264"/>
      <c r="X25" s="259"/>
    </row>
    <row r="26" spans="1:25" s="132" customFormat="1" ht="18.75" customHeight="1" x14ac:dyDescent="0.35">
      <c r="A26" s="316" t="s">
        <v>205</v>
      </c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80"/>
      <c r="U26" s="200" t="e">
        <f>SUM(T9:T25)</f>
        <v>#REF!</v>
      </c>
      <c r="V26" s="201"/>
      <c r="W26" s="175"/>
      <c r="X26" s="153"/>
    </row>
    <row r="27" spans="1:25" s="154" customFormat="1" ht="23.25" customHeight="1" x14ac:dyDescent="0.35">
      <c r="A27" s="195" t="s">
        <v>206</v>
      </c>
      <c r="B27" s="175" t="s">
        <v>207</v>
      </c>
      <c r="C27" s="195"/>
      <c r="D27" s="196"/>
      <c r="E27" s="195"/>
      <c r="F27" s="133"/>
      <c r="G27" s="133"/>
      <c r="H27" s="147"/>
      <c r="I27" s="147"/>
      <c r="J27" s="147"/>
      <c r="K27" s="147"/>
      <c r="L27" s="150"/>
      <c r="M27" s="147"/>
      <c r="N27" s="133"/>
      <c r="O27" s="147"/>
      <c r="P27" s="150"/>
      <c r="Q27" s="147"/>
      <c r="R27" s="151"/>
      <c r="S27" s="147"/>
      <c r="T27" s="133">
        <f t="shared" ref="T27:T44" si="2">N27-O27-Q27-R27-S27</f>
        <v>0</v>
      </c>
      <c r="U27" s="170"/>
      <c r="V27" s="202"/>
      <c r="W27" s="171"/>
      <c r="X27" s="153" t="e">
        <f>'[1]chi tiết lương từng người '!J46</f>
        <v>#REF!</v>
      </c>
      <c r="Y27" s="174" t="e">
        <f>T27-X27</f>
        <v>#REF!</v>
      </c>
    </row>
    <row r="28" spans="1:25" s="154" customFormat="1" ht="24.75" customHeight="1" x14ac:dyDescent="0.35">
      <c r="A28" s="149">
        <v>18</v>
      </c>
      <c r="B28" s="145" t="s">
        <v>208</v>
      </c>
      <c r="C28" s="149" t="s">
        <v>209</v>
      </c>
      <c r="D28" s="145" t="s">
        <v>210</v>
      </c>
      <c r="E28" s="149">
        <v>26</v>
      </c>
      <c r="F28" s="147">
        <f>'B. GV- NVCH'!G19</f>
        <v>4800000</v>
      </c>
      <c r="G28" s="147">
        <f>'B. GV- NVCH'!G7</f>
        <v>10000000</v>
      </c>
      <c r="H28" s="172">
        <f>'B. GV- NVCH'!G8</f>
        <v>2000000</v>
      </c>
      <c r="I28" s="172">
        <f>'B. GV- NVCH'!G20</f>
        <v>-3000000</v>
      </c>
      <c r="J28" s="147">
        <f>'B. GV- NVCH'!G25</f>
        <v>200000</v>
      </c>
      <c r="K28" s="147">
        <f>SUM('B. GV- NVCH'!G26:G30)</f>
        <v>354000</v>
      </c>
      <c r="L28" s="150"/>
      <c r="M28" s="147"/>
      <c r="N28" s="133">
        <f t="shared" ref="N28:N44" si="3">SUM(F28:K28)+M28</f>
        <v>14354000</v>
      </c>
      <c r="O28" s="147"/>
      <c r="P28" s="150"/>
      <c r="Q28" s="147"/>
      <c r="R28" s="151">
        <f t="shared" ref="R28:R41" si="4">5100000*10.5%</f>
        <v>535500</v>
      </c>
      <c r="S28" s="147"/>
      <c r="T28" s="133">
        <f t="shared" si="2"/>
        <v>13818500</v>
      </c>
      <c r="U28" s="170" t="s">
        <v>211</v>
      </c>
      <c r="V28" s="202"/>
      <c r="W28" s="175" t="s">
        <v>212</v>
      </c>
      <c r="X28" s="153"/>
    </row>
    <row r="29" spans="1:25" s="154" customFormat="1" ht="23.25" customHeight="1" x14ac:dyDescent="0.35">
      <c r="A29" s="149">
        <v>19</v>
      </c>
      <c r="B29" s="145" t="s">
        <v>201</v>
      </c>
      <c r="C29" s="149" t="s">
        <v>173</v>
      </c>
      <c r="D29" s="145" t="s">
        <v>213</v>
      </c>
      <c r="E29" s="149">
        <v>26</v>
      </c>
      <c r="F29" s="147">
        <f>'B. GV- NVCH'!M19</f>
        <v>4800000</v>
      </c>
      <c r="G29" s="147">
        <f>'B. GV- NVCH'!M7</f>
        <v>7000000</v>
      </c>
      <c r="H29" s="172">
        <f>'B. GV- NVCH'!M8</f>
        <v>2000000</v>
      </c>
      <c r="I29" s="172">
        <f>'B. GV- NVCH'!M20</f>
        <v>-3000000</v>
      </c>
      <c r="J29" s="147">
        <f>'B. GV- NVCH'!M25</f>
        <v>200000</v>
      </c>
      <c r="K29" s="147">
        <f>SUM('B. GV- NVCH'!M26:M30)</f>
        <v>412000</v>
      </c>
      <c r="L29" s="150"/>
      <c r="M29" s="147"/>
      <c r="N29" s="133">
        <f t="shared" si="3"/>
        <v>11412000</v>
      </c>
      <c r="O29" s="147"/>
      <c r="P29" s="150"/>
      <c r="Q29" s="147"/>
      <c r="R29" s="151">
        <f t="shared" si="4"/>
        <v>535500</v>
      </c>
      <c r="S29" s="147"/>
      <c r="T29" s="133">
        <f t="shared" si="2"/>
        <v>10876500</v>
      </c>
      <c r="U29" s="170" t="s">
        <v>214</v>
      </c>
      <c r="V29" s="202"/>
      <c r="W29" s="175" t="s">
        <v>215</v>
      </c>
      <c r="X29" s="153"/>
    </row>
    <row r="30" spans="1:25" s="154" customFormat="1" ht="23.25" customHeight="1" x14ac:dyDescent="0.35">
      <c r="A30" s="149">
        <v>20</v>
      </c>
      <c r="B30" s="145" t="s">
        <v>216</v>
      </c>
      <c r="C30" s="149" t="s">
        <v>209</v>
      </c>
      <c r="D30" s="145" t="s">
        <v>217</v>
      </c>
      <c r="E30" s="149">
        <v>26</v>
      </c>
      <c r="F30" s="147" t="e">
        <f>#REF!</f>
        <v>#REF!</v>
      </c>
      <c r="G30" s="147" t="e">
        <f>SUM(#REF!)</f>
        <v>#REF!</v>
      </c>
      <c r="H30" s="147"/>
      <c r="I30" s="147"/>
      <c r="J30" s="147" t="e">
        <f>#REF!</f>
        <v>#REF!</v>
      </c>
      <c r="K30" s="147" t="e">
        <f>#REF!</f>
        <v>#REF!</v>
      </c>
      <c r="L30" s="150">
        <v>0.5</v>
      </c>
      <c r="M30" s="147" t="e">
        <f>F30/26*L30</f>
        <v>#REF!</v>
      </c>
      <c r="N30" s="133" t="e">
        <f t="shared" si="3"/>
        <v>#REF!</v>
      </c>
      <c r="O30" s="147">
        <v>200000</v>
      </c>
      <c r="P30" s="150"/>
      <c r="Q30" s="147"/>
      <c r="R30" s="151">
        <f t="shared" si="4"/>
        <v>535500</v>
      </c>
      <c r="S30" s="147"/>
      <c r="T30" s="133" t="e">
        <f t="shared" si="2"/>
        <v>#REF!</v>
      </c>
      <c r="U30" s="149"/>
      <c r="V30" s="152"/>
      <c r="W30" s="245" t="s">
        <v>218</v>
      </c>
      <c r="X30" s="153"/>
    </row>
    <row r="31" spans="1:25" s="154" customFormat="1" ht="23.25" customHeight="1" x14ac:dyDescent="0.35">
      <c r="A31" s="149">
        <v>21</v>
      </c>
      <c r="B31" s="145" t="s">
        <v>219</v>
      </c>
      <c r="C31" s="149" t="s">
        <v>173</v>
      </c>
      <c r="D31" s="148" t="s">
        <v>220</v>
      </c>
      <c r="E31" s="149">
        <v>26</v>
      </c>
      <c r="F31" s="147" t="e">
        <f>#REF!</f>
        <v>#REF!</v>
      </c>
      <c r="G31" s="147" t="e">
        <f>#REF!</f>
        <v>#REF!</v>
      </c>
      <c r="H31" s="147"/>
      <c r="I31" s="147" t="e">
        <f>#REF!</f>
        <v>#REF!</v>
      </c>
      <c r="J31" s="147" t="e">
        <f>#REF!</f>
        <v>#REF!</v>
      </c>
      <c r="K31" s="147" t="e">
        <f>#REF!</f>
        <v>#REF!</v>
      </c>
      <c r="L31" s="150">
        <v>4.5</v>
      </c>
      <c r="M31" s="147" t="e">
        <f>F31/26*L31</f>
        <v>#REF!</v>
      </c>
      <c r="N31" s="133" t="e">
        <f t="shared" si="3"/>
        <v>#REF!</v>
      </c>
      <c r="O31" s="147"/>
      <c r="P31" s="150"/>
      <c r="Q31" s="147"/>
      <c r="R31" s="151">
        <f t="shared" si="4"/>
        <v>535500</v>
      </c>
      <c r="S31" s="147"/>
      <c r="T31" s="133" t="e">
        <f t="shared" si="2"/>
        <v>#REF!</v>
      </c>
      <c r="U31" s="149"/>
      <c r="V31" s="152"/>
      <c r="W31" s="245" t="s">
        <v>221</v>
      </c>
      <c r="X31" s="153"/>
    </row>
    <row r="32" spans="1:25" s="154" customFormat="1" ht="23.25" customHeight="1" x14ac:dyDescent="0.35">
      <c r="A32" s="149">
        <v>22</v>
      </c>
      <c r="B32" s="145" t="s">
        <v>222</v>
      </c>
      <c r="C32" s="149" t="s">
        <v>209</v>
      </c>
      <c r="D32" s="148" t="s">
        <v>223</v>
      </c>
      <c r="E32" s="149">
        <v>26</v>
      </c>
      <c r="F32" s="147">
        <f>'B. GV- NVCH'!S19</f>
        <v>4800000</v>
      </c>
      <c r="G32" s="147">
        <f>'B. GV- NVCH'!S7</f>
        <v>5000000</v>
      </c>
      <c r="H32" s="172"/>
      <c r="I32" s="172"/>
      <c r="J32" s="147">
        <f>'B. GV- NVCH'!S25</f>
        <v>200000</v>
      </c>
      <c r="K32" s="147"/>
      <c r="L32" s="150">
        <f>'B. GV- NVCH'!P24</f>
        <v>1.5</v>
      </c>
      <c r="M32" s="147">
        <f>G32/E32*L32</f>
        <v>288461.5384615385</v>
      </c>
      <c r="N32" s="133">
        <f t="shared" si="3"/>
        <v>10288461.538461538</v>
      </c>
      <c r="O32" s="147"/>
      <c r="P32" s="150"/>
      <c r="Q32" s="147"/>
      <c r="R32" s="151">
        <f t="shared" si="4"/>
        <v>535500</v>
      </c>
      <c r="S32" s="147"/>
      <c r="T32" s="133">
        <f t="shared" si="2"/>
        <v>9752961.538461538</v>
      </c>
      <c r="U32" s="166"/>
      <c r="V32" s="236"/>
      <c r="W32" s="175" t="s">
        <v>224</v>
      </c>
      <c r="X32" s="153"/>
    </row>
    <row r="33" spans="1:25" s="154" customFormat="1" ht="23.25" customHeight="1" x14ac:dyDescent="0.35">
      <c r="A33" s="149">
        <v>23</v>
      </c>
      <c r="B33" s="145" t="s">
        <v>225</v>
      </c>
      <c r="C33" s="149" t="s">
        <v>209</v>
      </c>
      <c r="D33" s="145" t="s">
        <v>226</v>
      </c>
      <c r="E33" s="149">
        <v>26</v>
      </c>
      <c r="F33" s="147">
        <v>5500000</v>
      </c>
      <c r="G33" s="147"/>
      <c r="H33" s="147"/>
      <c r="I33" s="147"/>
      <c r="J33" s="147" t="e">
        <f>'B. GV- NVCH'!#REF!</f>
        <v>#REF!</v>
      </c>
      <c r="K33" s="147" t="e">
        <f>SUM('B. GV- NVCH'!#REF!)</f>
        <v>#REF!</v>
      </c>
      <c r="L33" s="150"/>
      <c r="M33" s="147"/>
      <c r="N33" s="133" t="e">
        <f t="shared" si="3"/>
        <v>#REF!</v>
      </c>
      <c r="O33" s="147"/>
      <c r="P33" s="150"/>
      <c r="Q33" s="147"/>
      <c r="R33" s="151">
        <f t="shared" si="4"/>
        <v>535500</v>
      </c>
      <c r="S33" s="147"/>
      <c r="T33" s="133" t="e">
        <f t="shared" si="2"/>
        <v>#REF!</v>
      </c>
      <c r="U33" s="149"/>
      <c r="V33" s="152"/>
      <c r="W33" s="175"/>
      <c r="X33" s="153"/>
    </row>
    <row r="34" spans="1:25" s="154" customFormat="1" ht="23.25" customHeight="1" x14ac:dyDescent="0.35">
      <c r="A34" s="149">
        <v>24</v>
      </c>
      <c r="B34" s="145" t="s">
        <v>227</v>
      </c>
      <c r="C34" s="149" t="s">
        <v>209</v>
      </c>
      <c r="D34" s="145" t="s">
        <v>228</v>
      </c>
      <c r="E34" s="149">
        <v>26</v>
      </c>
      <c r="F34" s="147">
        <v>5000000</v>
      </c>
      <c r="G34" s="147">
        <v>1700000</v>
      </c>
      <c r="H34" s="147"/>
      <c r="I34" s="147"/>
      <c r="J34" s="147" t="e">
        <f>'B. GV- NVCH'!#REF!</f>
        <v>#REF!</v>
      </c>
      <c r="K34" s="147"/>
      <c r="L34" s="150"/>
      <c r="M34" s="147"/>
      <c r="N34" s="133" t="e">
        <f t="shared" si="3"/>
        <v>#REF!</v>
      </c>
      <c r="O34" s="147"/>
      <c r="P34" s="150"/>
      <c r="Q34" s="147"/>
      <c r="R34" s="151">
        <f t="shared" si="4"/>
        <v>535500</v>
      </c>
      <c r="S34" s="147"/>
      <c r="T34" s="133" t="e">
        <f t="shared" si="2"/>
        <v>#REF!</v>
      </c>
      <c r="U34" s="149"/>
      <c r="V34" s="152"/>
      <c r="W34" s="175"/>
      <c r="X34" s="153"/>
    </row>
    <row r="35" spans="1:25" s="154" customFormat="1" ht="23.25" customHeight="1" x14ac:dyDescent="0.35">
      <c r="A35" s="149">
        <v>25</v>
      </c>
      <c r="B35" s="145" t="s">
        <v>229</v>
      </c>
      <c r="C35" s="149" t="s">
        <v>173</v>
      </c>
      <c r="D35" s="145" t="s">
        <v>230</v>
      </c>
      <c r="E35" s="149"/>
      <c r="F35" s="147">
        <f>'B. GV- NVCH'!Y19</f>
        <v>4800000</v>
      </c>
      <c r="G35" s="147">
        <f>'B. GV- NVCH'!Y7+'B. GV- NVCH'!Y9</f>
        <v>1700000</v>
      </c>
      <c r="H35" s="172">
        <f>'B. GV- NVCH'!Y8</f>
        <v>2000000</v>
      </c>
      <c r="I35" s="172">
        <f>'B. GV- NVCH'!Y20</f>
        <v>1200000</v>
      </c>
      <c r="J35" s="147">
        <f>'B. GV- NVCH'!Y25</f>
        <v>200000</v>
      </c>
      <c r="K35" s="147">
        <f>SUM('B. GV- NVCH'!Y26:Y30)</f>
        <v>2068333.1</v>
      </c>
      <c r="L35" s="150"/>
      <c r="M35" s="147"/>
      <c r="N35" s="133">
        <f t="shared" si="3"/>
        <v>11968333.1</v>
      </c>
      <c r="O35" s="147"/>
      <c r="P35" s="150"/>
      <c r="Q35" s="147"/>
      <c r="R35" s="151">
        <f t="shared" si="4"/>
        <v>535500</v>
      </c>
      <c r="S35" s="147">
        <f>'B. GV- NVCH'!Y34</f>
        <v>37642</v>
      </c>
      <c r="T35" s="133">
        <f t="shared" si="2"/>
        <v>11395191.1</v>
      </c>
      <c r="U35" s="170" t="s">
        <v>231</v>
      </c>
      <c r="V35" s="202"/>
      <c r="W35" s="175" t="s">
        <v>232</v>
      </c>
      <c r="X35" s="153"/>
    </row>
    <row r="36" spans="1:25" s="154" customFormat="1" ht="23.25" customHeight="1" x14ac:dyDescent="0.35">
      <c r="A36" s="149">
        <v>26</v>
      </c>
      <c r="B36" s="145" t="s">
        <v>233</v>
      </c>
      <c r="C36" s="149" t="s">
        <v>234</v>
      </c>
      <c r="D36" s="148" t="s">
        <v>235</v>
      </c>
      <c r="E36" s="149"/>
      <c r="F36" s="147">
        <f>'B. GV- NVCH'!AE19</f>
        <v>4800000</v>
      </c>
      <c r="G36" s="147">
        <f>'B. GV- NVCH'!AE7</f>
        <v>4000000</v>
      </c>
      <c r="H36" s="172">
        <f>'B. GV- NVCH'!AE8</f>
        <v>2000000</v>
      </c>
      <c r="I36" s="172">
        <f>SUM('B. GV- NVCH'!AE20:AE22)</f>
        <v>4144000</v>
      </c>
      <c r="J36" s="147"/>
      <c r="K36" s="147">
        <f>SUM('B. GV- NVCH'!AE26:AE30)</f>
        <v>2450000</v>
      </c>
      <c r="L36" s="150"/>
      <c r="M36" s="147"/>
      <c r="N36" s="133">
        <f t="shared" si="3"/>
        <v>17394000</v>
      </c>
      <c r="O36" s="147"/>
      <c r="P36" s="150"/>
      <c r="Q36" s="147"/>
      <c r="R36" s="151">
        <f t="shared" si="4"/>
        <v>535500</v>
      </c>
      <c r="S36" s="147"/>
      <c r="T36" s="133">
        <f t="shared" si="2"/>
        <v>16858500</v>
      </c>
      <c r="U36" s="166" t="s">
        <v>236</v>
      </c>
      <c r="V36" s="236"/>
      <c r="W36" s="245" t="s">
        <v>237</v>
      </c>
      <c r="X36" s="153"/>
    </row>
    <row r="37" spans="1:25" s="154" customFormat="1" ht="23.25" customHeight="1" x14ac:dyDescent="0.35">
      <c r="A37" s="149">
        <v>27</v>
      </c>
      <c r="B37" s="145" t="s">
        <v>238</v>
      </c>
      <c r="C37" s="149" t="s">
        <v>173</v>
      </c>
      <c r="D37" s="148" t="s">
        <v>239</v>
      </c>
      <c r="E37" s="149"/>
      <c r="F37" s="147">
        <f>'B. GV- NVCH'!AK19</f>
        <v>4800000</v>
      </c>
      <c r="G37" s="147">
        <f>'B. GV- NVCH'!AK7</f>
        <v>1000000</v>
      </c>
      <c r="H37" s="172">
        <f>'B. GV- NVCH'!AK8</f>
        <v>1000000</v>
      </c>
      <c r="I37" s="172">
        <f>'B. GV- NVCH'!AK20</f>
        <v>-1300000</v>
      </c>
      <c r="J37" s="147">
        <f>'B. GV- NVCH'!AK25</f>
        <v>200000</v>
      </c>
      <c r="K37" s="147">
        <f>SUM('B. GV- NVCH'!AK26:AK29)</f>
        <v>2487333.1</v>
      </c>
      <c r="L37" s="150"/>
      <c r="M37" s="147"/>
      <c r="N37" s="133">
        <f t="shared" si="3"/>
        <v>8187333.0999999996</v>
      </c>
      <c r="O37" s="147"/>
      <c r="P37" s="150"/>
      <c r="Q37" s="147"/>
      <c r="R37" s="151">
        <f t="shared" si="4"/>
        <v>535500</v>
      </c>
      <c r="S37" s="147"/>
      <c r="T37" s="133">
        <f t="shared" si="2"/>
        <v>7651833.0999999996</v>
      </c>
      <c r="U37" s="166" t="s">
        <v>240</v>
      </c>
      <c r="V37" s="236"/>
      <c r="W37" s="245" t="s">
        <v>241</v>
      </c>
      <c r="X37" s="153"/>
    </row>
    <row r="38" spans="1:25" s="154" customFormat="1" ht="23.25" customHeight="1" x14ac:dyDescent="0.35">
      <c r="A38" s="149">
        <v>28</v>
      </c>
      <c r="B38" s="145" t="s">
        <v>242</v>
      </c>
      <c r="C38" s="149" t="s">
        <v>173</v>
      </c>
      <c r="D38" s="145" t="s">
        <v>243</v>
      </c>
      <c r="E38" s="149"/>
      <c r="F38" s="147">
        <f>'B. GV- NVCH'!AQ10</f>
        <v>0</v>
      </c>
      <c r="G38" s="147">
        <f>'B. GV- NVCH'!AQ7</f>
        <v>0</v>
      </c>
      <c r="H38" s="172"/>
      <c r="I38" s="172"/>
      <c r="J38" s="147">
        <f>'B. GV- NVCH'!AQ25</f>
        <v>200000</v>
      </c>
      <c r="K38" s="147">
        <f>SUM('B. GV- NVCH'!AQ26:AQ30)</f>
        <v>216000</v>
      </c>
      <c r="L38" s="150"/>
      <c r="M38" s="147"/>
      <c r="N38" s="133">
        <f t="shared" si="3"/>
        <v>416000</v>
      </c>
      <c r="O38" s="147"/>
      <c r="P38" s="150"/>
      <c r="Q38" s="147"/>
      <c r="R38" s="151">
        <f t="shared" si="4"/>
        <v>535500</v>
      </c>
      <c r="S38" s="147"/>
      <c r="T38" s="133">
        <f t="shared" si="2"/>
        <v>-119500</v>
      </c>
      <c r="U38" s="166"/>
      <c r="V38" s="236"/>
      <c r="W38" s="245"/>
      <c r="X38" s="153"/>
    </row>
    <row r="39" spans="1:25" s="154" customFormat="1" ht="23.25" customHeight="1" x14ac:dyDescent="0.35">
      <c r="A39" s="149">
        <v>29</v>
      </c>
      <c r="B39" s="145" t="s">
        <v>244</v>
      </c>
      <c r="C39" s="149" t="s">
        <v>173</v>
      </c>
      <c r="D39" s="145" t="s">
        <v>245</v>
      </c>
      <c r="E39" s="149"/>
      <c r="F39" s="147">
        <f>'B. GV- NVCH'!AW10</f>
        <v>0</v>
      </c>
      <c r="G39" s="147"/>
      <c r="H39" s="172">
        <f>'B. GV- NVCH'!AW8</f>
        <v>1000000</v>
      </c>
      <c r="I39" s="172"/>
      <c r="J39" s="147">
        <f>'B. GV- NVCH'!AW25</f>
        <v>200000</v>
      </c>
      <c r="K39" s="147">
        <f>SUM('B. GV- NVCH'!AW26:AW29)</f>
        <v>950000</v>
      </c>
      <c r="L39" s="150"/>
      <c r="M39" s="147"/>
      <c r="N39" s="133">
        <f t="shared" si="3"/>
        <v>2150000</v>
      </c>
      <c r="O39" s="147"/>
      <c r="P39" s="150"/>
      <c r="Q39" s="147"/>
      <c r="R39" s="151">
        <f t="shared" si="4"/>
        <v>535500</v>
      </c>
      <c r="S39" s="147"/>
      <c r="T39" s="133">
        <f t="shared" si="2"/>
        <v>1614500</v>
      </c>
      <c r="U39" s="166" t="s">
        <v>246</v>
      </c>
      <c r="V39" s="236"/>
      <c r="W39" s="245" t="s">
        <v>247</v>
      </c>
      <c r="X39" s="153"/>
    </row>
    <row r="40" spans="1:25" s="154" customFormat="1" ht="23.25" customHeight="1" x14ac:dyDescent="0.35">
      <c r="A40" s="149">
        <v>30</v>
      </c>
      <c r="B40" s="145" t="s">
        <v>248</v>
      </c>
      <c r="C40" s="149" t="s">
        <v>173</v>
      </c>
      <c r="D40" s="145" t="s">
        <v>35</v>
      </c>
      <c r="E40" s="149"/>
      <c r="F40" s="147">
        <f>'B. GV- NVCH'!BC10</f>
        <v>0</v>
      </c>
      <c r="G40" s="147"/>
      <c r="H40" s="172">
        <f>'B. GV- NVCH'!BC8</f>
        <v>1000000</v>
      </c>
      <c r="I40" s="172"/>
      <c r="J40" s="147">
        <f>'B. GV- NVCH'!BC25</f>
        <v>200000</v>
      </c>
      <c r="K40" s="147">
        <f>SUM('B. GV- NVCH'!BC26:BC30)</f>
        <v>1383333.1</v>
      </c>
      <c r="L40" s="150"/>
      <c r="M40" s="147"/>
      <c r="N40" s="133">
        <f t="shared" si="3"/>
        <v>2583333.1</v>
      </c>
      <c r="O40" s="147"/>
      <c r="P40" s="150"/>
      <c r="Q40" s="147"/>
      <c r="R40" s="151">
        <f t="shared" si="4"/>
        <v>535500</v>
      </c>
      <c r="S40" s="147"/>
      <c r="T40" s="133">
        <f t="shared" si="2"/>
        <v>2047833.1</v>
      </c>
      <c r="U40" s="176" t="s">
        <v>249</v>
      </c>
      <c r="V40" s="237"/>
      <c r="W40" s="245" t="s">
        <v>247</v>
      </c>
      <c r="X40" s="153"/>
    </row>
    <row r="41" spans="1:25" s="154" customFormat="1" ht="23.25" customHeight="1" x14ac:dyDescent="0.35">
      <c r="A41" s="149">
        <v>31</v>
      </c>
      <c r="B41" s="145" t="s">
        <v>250</v>
      </c>
      <c r="C41" s="149" t="s">
        <v>173</v>
      </c>
      <c r="D41" s="145" t="s">
        <v>245</v>
      </c>
      <c r="E41" s="149"/>
      <c r="F41" s="147">
        <f>'B. GV- NVCH'!BI10</f>
        <v>0</v>
      </c>
      <c r="G41" s="147">
        <f>'B. GV- NVCH'!BI7</f>
        <v>1000000</v>
      </c>
      <c r="H41" s="172">
        <f>'B. GV- NVCH'!BI8</f>
        <v>1000000</v>
      </c>
      <c r="I41" s="172"/>
      <c r="J41" s="147">
        <f>'B. GV- NVCH'!BI25</f>
        <v>200000</v>
      </c>
      <c r="K41" s="147">
        <f>SUM('B. GV- NVCH'!BI26:BI30)</f>
        <v>730000</v>
      </c>
      <c r="L41" s="150"/>
      <c r="M41" s="147"/>
      <c r="N41" s="133">
        <f t="shared" si="3"/>
        <v>2930000</v>
      </c>
      <c r="O41" s="147"/>
      <c r="P41" s="150"/>
      <c r="Q41" s="147"/>
      <c r="R41" s="151">
        <f t="shared" si="4"/>
        <v>535500</v>
      </c>
      <c r="S41" s="147"/>
      <c r="T41" s="133">
        <f t="shared" si="2"/>
        <v>2394500</v>
      </c>
      <c r="U41" s="166" t="s">
        <v>251</v>
      </c>
      <c r="V41" s="236"/>
      <c r="W41" s="245" t="s">
        <v>252</v>
      </c>
      <c r="X41" s="153"/>
    </row>
    <row r="42" spans="1:25" ht="23.25" customHeight="1" x14ac:dyDescent="0.3">
      <c r="A42" s="149">
        <v>32</v>
      </c>
      <c r="B42" s="145" t="s">
        <v>253</v>
      </c>
      <c r="C42" s="149" t="s">
        <v>254</v>
      </c>
      <c r="D42" s="145" t="s">
        <v>255</v>
      </c>
      <c r="E42" s="149"/>
      <c r="F42" s="147">
        <f>'B. GV- NVCH'!BO10</f>
        <v>0</v>
      </c>
      <c r="G42" s="147"/>
      <c r="H42" s="172"/>
      <c r="I42" s="172"/>
      <c r="J42" s="147">
        <f>'B. GV- NVCH'!BO25</f>
        <v>200000</v>
      </c>
      <c r="K42" s="147">
        <f>SUM('B. GV- NVCH'!BO26:BO30)</f>
        <v>188000</v>
      </c>
      <c r="L42" s="150"/>
      <c r="M42" s="147"/>
      <c r="N42" s="133">
        <f t="shared" si="3"/>
        <v>388000</v>
      </c>
      <c r="O42" s="177"/>
      <c r="P42" s="203"/>
      <c r="Q42" s="177"/>
      <c r="R42" s="151">
        <f>5100000*32%</f>
        <v>1632000</v>
      </c>
      <c r="S42" s="177">
        <f>'B. GV- NVCH'!BO34</f>
        <v>0</v>
      </c>
      <c r="T42" s="133">
        <f t="shared" si="2"/>
        <v>-1244000</v>
      </c>
      <c r="U42" s="176" t="s">
        <v>256</v>
      </c>
      <c r="V42" s="185"/>
      <c r="X42" s="185"/>
    </row>
    <row r="43" spans="1:25" s="154" customFormat="1" ht="23.25" customHeight="1" x14ac:dyDescent="0.35">
      <c r="A43" s="149">
        <v>33</v>
      </c>
      <c r="B43" s="145" t="s">
        <v>257</v>
      </c>
      <c r="C43" s="149" t="s">
        <v>173</v>
      </c>
      <c r="D43" s="145" t="s">
        <v>258</v>
      </c>
      <c r="E43" s="149"/>
      <c r="F43" s="147">
        <f>'B. GV- NVCH'!BU10</f>
        <v>3376000</v>
      </c>
      <c r="G43" s="147">
        <f>'B. GV- NVCH'!BU7</f>
        <v>1000000</v>
      </c>
      <c r="H43" s="172"/>
      <c r="I43" s="172"/>
      <c r="J43" s="147">
        <f>'B. GV- NVCH'!BU25</f>
        <v>200000</v>
      </c>
      <c r="K43" s="147">
        <f>SUM('B. GV- NVCH'!BU26:BU30)</f>
        <v>490000</v>
      </c>
      <c r="L43" s="150"/>
      <c r="M43" s="147"/>
      <c r="N43" s="133">
        <f t="shared" si="3"/>
        <v>5066000</v>
      </c>
      <c r="O43" s="147"/>
      <c r="P43" s="150"/>
      <c r="Q43" s="147"/>
      <c r="R43" s="151">
        <f>5100000*32%</f>
        <v>1632000</v>
      </c>
      <c r="S43" s="147"/>
      <c r="T43" s="133">
        <f t="shared" si="2"/>
        <v>3434000</v>
      </c>
      <c r="U43" s="176" t="s">
        <v>256</v>
      </c>
      <c r="W43" s="132"/>
    </row>
    <row r="44" spans="1:25" ht="23.25" customHeight="1" x14ac:dyDescent="0.3">
      <c r="A44" s="149">
        <v>34</v>
      </c>
      <c r="B44" s="145" t="s">
        <v>259</v>
      </c>
      <c r="C44" s="204" t="s">
        <v>260</v>
      </c>
      <c r="D44" s="145" t="s">
        <v>261</v>
      </c>
      <c r="E44" s="149"/>
      <c r="F44" s="147">
        <f>'B. GV- NVCH'!CA10</f>
        <v>1648000</v>
      </c>
      <c r="G44" s="147"/>
      <c r="H44" s="172"/>
      <c r="I44" s="172"/>
      <c r="J44" s="147">
        <f>'B. GV- NVCH'!CA25</f>
        <v>200000</v>
      </c>
      <c r="K44" s="147">
        <f>SUM('B. GV- NVCH'!CA26:CA30)</f>
        <v>170000</v>
      </c>
      <c r="L44" s="150"/>
      <c r="M44" s="147"/>
      <c r="N44" s="133">
        <f t="shared" si="3"/>
        <v>2018000</v>
      </c>
      <c r="O44" s="177"/>
      <c r="P44" s="203"/>
      <c r="Q44" s="177"/>
      <c r="R44" s="151">
        <f>5100000*32%</f>
        <v>1632000</v>
      </c>
      <c r="S44" s="177">
        <f>'B. GV- NVCH'!CA34</f>
        <v>148250</v>
      </c>
      <c r="T44" s="133">
        <f t="shared" si="2"/>
        <v>237750</v>
      </c>
      <c r="U44" s="176" t="s">
        <v>256</v>
      </c>
      <c r="V44" s="185"/>
      <c r="X44" s="185"/>
    </row>
    <row r="45" spans="1:25" s="132" customFormat="1" ht="18" customHeight="1" x14ac:dyDescent="0.35">
      <c r="A45" s="316" t="s">
        <v>262</v>
      </c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80"/>
      <c r="U45" s="200" t="e">
        <f>SUM(T28:T44)</f>
        <v>#REF!</v>
      </c>
      <c r="V45" s="201"/>
      <c r="W45" s="175"/>
      <c r="X45" s="153"/>
    </row>
    <row r="46" spans="1:25" s="154" customFormat="1" ht="21.75" customHeight="1" x14ac:dyDescent="0.35">
      <c r="A46" s="195" t="s">
        <v>263</v>
      </c>
      <c r="B46" s="314" t="s">
        <v>264</v>
      </c>
      <c r="C46" s="279"/>
      <c r="D46" s="279"/>
      <c r="E46" s="279"/>
      <c r="F46" s="279"/>
      <c r="G46" s="279"/>
      <c r="H46" s="279"/>
      <c r="I46" s="280"/>
      <c r="J46" s="147"/>
      <c r="K46" s="147"/>
      <c r="L46" s="150"/>
      <c r="M46" s="147"/>
      <c r="N46" s="133"/>
      <c r="O46" s="147"/>
      <c r="P46" s="150"/>
      <c r="Q46" s="147"/>
      <c r="R46" s="151"/>
      <c r="S46" s="147"/>
      <c r="T46" s="133">
        <f t="shared" ref="T46:T53" si="5">N46-O46-Q46-R46-S46</f>
        <v>0</v>
      </c>
      <c r="U46" s="170"/>
      <c r="V46" s="202"/>
      <c r="W46" s="171"/>
      <c r="X46" s="153" t="e">
        <f>'[1]chi tiết lương từng người '!J65</f>
        <v>#REF!</v>
      </c>
      <c r="Y46" s="174" t="e">
        <f>T46-X46</f>
        <v>#REF!</v>
      </c>
    </row>
    <row r="47" spans="1:25" ht="23.25" customHeight="1" x14ac:dyDescent="0.3">
      <c r="A47" s="149">
        <v>35</v>
      </c>
      <c r="B47" s="145" t="s">
        <v>265</v>
      </c>
      <c r="C47" s="149" t="s">
        <v>173</v>
      </c>
      <c r="D47" s="145" t="s">
        <v>266</v>
      </c>
      <c r="E47" s="149"/>
      <c r="F47" s="147" t="e">
        <f>SUM(#REF!)</f>
        <v>#REF!</v>
      </c>
      <c r="G47" s="147"/>
      <c r="H47" s="172" t="e">
        <f>#REF!</f>
        <v>#REF!</v>
      </c>
      <c r="I47" s="172" t="e">
        <f>SUM(#REF!)</f>
        <v>#REF!</v>
      </c>
      <c r="J47" s="147" t="e">
        <f>#REF!</f>
        <v>#REF!</v>
      </c>
      <c r="K47" s="147" t="e">
        <f>SUM(#REF!)</f>
        <v>#REF!</v>
      </c>
      <c r="L47" s="150"/>
      <c r="M47" s="147"/>
      <c r="N47" s="133" t="e">
        <f t="shared" ref="N47:N53" si="6">SUM(F47:K47)+M47</f>
        <v>#REF!</v>
      </c>
      <c r="O47" s="177"/>
      <c r="P47" s="203"/>
      <c r="Q47" s="177"/>
      <c r="R47" s="151"/>
      <c r="S47" s="177"/>
      <c r="T47" s="133" t="e">
        <f t="shared" si="5"/>
        <v>#REF!</v>
      </c>
      <c r="U47" s="176" t="s">
        <v>267</v>
      </c>
      <c r="V47" s="185"/>
      <c r="W47" s="191" t="s">
        <v>268</v>
      </c>
      <c r="X47" s="185"/>
    </row>
    <row r="48" spans="1:25" ht="23.25" customHeight="1" x14ac:dyDescent="0.3">
      <c r="A48" s="149">
        <v>36</v>
      </c>
      <c r="B48" s="145" t="s">
        <v>269</v>
      </c>
      <c r="C48" s="149" t="s">
        <v>173</v>
      </c>
      <c r="D48" s="145" t="s">
        <v>270</v>
      </c>
      <c r="E48" s="149"/>
      <c r="F48" s="147" t="e">
        <f>SUM(#REF!)</f>
        <v>#REF!</v>
      </c>
      <c r="G48" s="147"/>
      <c r="H48" s="172" t="e">
        <f>#REF!</f>
        <v>#REF!</v>
      </c>
      <c r="I48" s="172" t="e">
        <f>SUM(#REF!)</f>
        <v>#REF!</v>
      </c>
      <c r="J48" s="147" t="e">
        <f>#REF!</f>
        <v>#REF!</v>
      </c>
      <c r="K48" s="147" t="e">
        <f>SUM(#REF!)</f>
        <v>#REF!</v>
      </c>
      <c r="L48" s="150"/>
      <c r="M48" s="147"/>
      <c r="N48" s="133" t="e">
        <f t="shared" si="6"/>
        <v>#REF!</v>
      </c>
      <c r="O48" s="177"/>
      <c r="P48" s="203"/>
      <c r="Q48" s="177"/>
      <c r="R48" s="151"/>
      <c r="S48" s="177"/>
      <c r="T48" s="133" t="e">
        <f t="shared" si="5"/>
        <v>#REF!</v>
      </c>
      <c r="U48" s="176" t="s">
        <v>271</v>
      </c>
      <c r="V48" s="185"/>
      <c r="W48" s="191" t="s">
        <v>272</v>
      </c>
      <c r="X48" s="185"/>
    </row>
    <row r="49" spans="1:25" ht="23.25" customHeight="1" x14ac:dyDescent="0.3">
      <c r="A49" s="149">
        <v>37</v>
      </c>
      <c r="B49" s="145" t="s">
        <v>273</v>
      </c>
      <c r="C49" s="149" t="s">
        <v>274</v>
      </c>
      <c r="D49" s="145" t="s">
        <v>275</v>
      </c>
      <c r="E49" s="149"/>
      <c r="F49" s="147" t="e">
        <f>SUM(#REF!)</f>
        <v>#REF!</v>
      </c>
      <c r="G49" s="147"/>
      <c r="H49" s="172"/>
      <c r="I49" s="172"/>
      <c r="J49" s="147" t="e">
        <f>#REF!</f>
        <v>#REF!</v>
      </c>
      <c r="K49" s="147" t="e">
        <f>SUM(#REF!)</f>
        <v>#REF!</v>
      </c>
      <c r="L49" s="150"/>
      <c r="M49" s="147"/>
      <c r="N49" s="133" t="e">
        <f t="shared" si="6"/>
        <v>#REF!</v>
      </c>
      <c r="O49" s="177"/>
      <c r="P49" s="203"/>
      <c r="Q49" s="177"/>
      <c r="R49" s="151"/>
      <c r="S49" s="177"/>
      <c r="T49" s="133" t="e">
        <f t="shared" si="5"/>
        <v>#REF!</v>
      </c>
      <c r="U49" s="176" t="s">
        <v>276</v>
      </c>
      <c r="V49" s="185"/>
      <c r="W49" s="191" t="s">
        <v>277</v>
      </c>
      <c r="X49" s="185"/>
    </row>
    <row r="50" spans="1:25" ht="23.25" customHeight="1" x14ac:dyDescent="0.3">
      <c r="A50" s="149">
        <v>38</v>
      </c>
      <c r="B50" s="145" t="s">
        <v>278</v>
      </c>
      <c r="C50" s="149" t="s">
        <v>254</v>
      </c>
      <c r="D50" s="145" t="s">
        <v>279</v>
      </c>
      <c r="E50" s="149"/>
      <c r="F50" s="147" t="e">
        <f>SUM(#REF!)</f>
        <v>#REF!</v>
      </c>
      <c r="G50" s="147"/>
      <c r="H50" s="172"/>
      <c r="I50" s="172"/>
      <c r="J50" s="147" t="e">
        <f>#REF!</f>
        <v>#REF!</v>
      </c>
      <c r="K50" s="147" t="e">
        <f>SUM(#REF!)</f>
        <v>#REF!</v>
      </c>
      <c r="L50" s="150"/>
      <c r="M50" s="147"/>
      <c r="N50" s="133" t="e">
        <f t="shared" si="6"/>
        <v>#REF!</v>
      </c>
      <c r="O50" s="177"/>
      <c r="P50" s="203"/>
      <c r="Q50" s="177"/>
      <c r="R50" s="151"/>
      <c r="S50" s="177" t="e">
        <f>#REF!</f>
        <v>#REF!</v>
      </c>
      <c r="T50" s="133" t="e">
        <f t="shared" si="5"/>
        <v>#REF!</v>
      </c>
      <c r="U50" s="176"/>
      <c r="V50" s="185"/>
      <c r="W50" s="191" t="s">
        <v>280</v>
      </c>
      <c r="X50" s="185"/>
    </row>
    <row r="51" spans="1:25" ht="23.25" customHeight="1" x14ac:dyDescent="0.3">
      <c r="A51" s="149">
        <v>39</v>
      </c>
      <c r="B51" s="145" t="s">
        <v>281</v>
      </c>
      <c r="C51" s="149" t="s">
        <v>209</v>
      </c>
      <c r="D51" s="145" t="s">
        <v>282</v>
      </c>
      <c r="E51" s="149"/>
      <c r="F51" s="147" t="e">
        <f>SUM(#REF!)</f>
        <v>#REF!</v>
      </c>
      <c r="G51" s="147"/>
      <c r="H51" s="172"/>
      <c r="I51" s="172" t="e">
        <f>#REF!</f>
        <v>#REF!</v>
      </c>
      <c r="J51" s="147" t="e">
        <f>#REF!</f>
        <v>#REF!</v>
      </c>
      <c r="K51" s="147" t="e">
        <f>SUM(#REF!)</f>
        <v>#REF!</v>
      </c>
      <c r="L51" s="150"/>
      <c r="M51" s="147"/>
      <c r="N51" s="133" t="e">
        <f t="shared" si="6"/>
        <v>#REF!</v>
      </c>
      <c r="O51" s="177"/>
      <c r="P51" s="203"/>
      <c r="Q51" s="177"/>
      <c r="R51" s="151"/>
      <c r="S51" s="177"/>
      <c r="T51" s="133" t="e">
        <f t="shared" si="5"/>
        <v>#REF!</v>
      </c>
      <c r="U51" s="176"/>
      <c r="V51" s="185"/>
      <c r="X51" s="185"/>
    </row>
    <row r="52" spans="1:25" ht="23.25" customHeight="1" x14ac:dyDescent="0.3">
      <c r="A52" s="149">
        <v>40</v>
      </c>
      <c r="B52" s="145" t="s">
        <v>283</v>
      </c>
      <c r="C52" s="149" t="s">
        <v>173</v>
      </c>
      <c r="D52" s="145" t="s">
        <v>284</v>
      </c>
      <c r="E52" s="149"/>
      <c r="F52" s="147" t="e">
        <f>SUM(#REF!)</f>
        <v>#REF!</v>
      </c>
      <c r="G52" s="147"/>
      <c r="H52" s="172"/>
      <c r="I52" s="172"/>
      <c r="J52" s="147" t="e">
        <f>#REF!</f>
        <v>#REF!</v>
      </c>
      <c r="K52" s="147" t="e">
        <f>SUM(#REF!)</f>
        <v>#REF!</v>
      </c>
      <c r="L52" s="150"/>
      <c r="M52" s="147"/>
      <c r="N52" s="133" t="e">
        <f t="shared" si="6"/>
        <v>#REF!</v>
      </c>
      <c r="O52" s="177"/>
      <c r="P52" s="203"/>
      <c r="Q52" s="177"/>
      <c r="R52" s="151"/>
      <c r="S52" s="177"/>
      <c r="T52" s="133" t="e">
        <f t="shared" si="5"/>
        <v>#REF!</v>
      </c>
      <c r="U52" s="176"/>
      <c r="V52" s="185"/>
      <c r="X52" s="185"/>
    </row>
    <row r="53" spans="1:25" ht="23.25" customHeight="1" x14ac:dyDescent="0.3">
      <c r="A53" s="149">
        <v>41</v>
      </c>
      <c r="B53" s="145" t="s">
        <v>285</v>
      </c>
      <c r="C53" s="149" t="s">
        <v>173</v>
      </c>
      <c r="D53" s="145" t="s">
        <v>286</v>
      </c>
      <c r="E53" s="149"/>
      <c r="F53" s="147" t="e">
        <f>SUM(#REF!)</f>
        <v>#REF!</v>
      </c>
      <c r="G53" s="147"/>
      <c r="H53" s="172"/>
      <c r="I53" s="172"/>
      <c r="J53" s="147" t="e">
        <f>#REF!</f>
        <v>#REF!</v>
      </c>
      <c r="K53" s="147" t="e">
        <f>SUM(#REF!)</f>
        <v>#REF!</v>
      </c>
      <c r="L53" s="150"/>
      <c r="M53" s="147"/>
      <c r="N53" s="133" t="e">
        <f t="shared" si="6"/>
        <v>#REF!</v>
      </c>
      <c r="O53" s="177"/>
      <c r="P53" s="203"/>
      <c r="Q53" s="177"/>
      <c r="R53" s="151"/>
      <c r="S53" s="177"/>
      <c r="T53" s="133" t="e">
        <f t="shared" si="5"/>
        <v>#REF!</v>
      </c>
      <c r="U53" s="176"/>
      <c r="V53" s="185"/>
      <c r="X53" s="185"/>
    </row>
    <row r="54" spans="1:25" ht="23.25" customHeight="1" x14ac:dyDescent="0.35">
      <c r="A54" s="316" t="s">
        <v>287</v>
      </c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80"/>
      <c r="U54" s="200" t="e">
        <f>SUM(T47:T53)</f>
        <v>#REF!</v>
      </c>
    </row>
    <row r="55" spans="1:25" s="154" customFormat="1" ht="23.25" customHeight="1" x14ac:dyDescent="0.35">
      <c r="A55" s="195" t="s">
        <v>288</v>
      </c>
      <c r="B55" s="314" t="s">
        <v>289</v>
      </c>
      <c r="C55" s="279"/>
      <c r="D55" s="279"/>
      <c r="E55" s="279"/>
      <c r="F55" s="279"/>
      <c r="G55" s="279"/>
      <c r="H55" s="279"/>
      <c r="I55" s="280"/>
      <c r="J55" s="147"/>
      <c r="K55" s="147"/>
      <c r="L55" s="150"/>
      <c r="M55" s="147"/>
      <c r="N55" s="133"/>
      <c r="O55" s="177"/>
      <c r="P55" s="203"/>
      <c r="Q55" s="177"/>
      <c r="R55" s="151"/>
      <c r="S55" s="177"/>
      <c r="T55" s="133"/>
      <c r="U55" s="170"/>
      <c r="V55" s="202"/>
      <c r="W55" s="171"/>
      <c r="X55" s="153" t="e">
        <f>'[1]chi tiết lương từng người '!J71</f>
        <v>#REF!</v>
      </c>
      <c r="Y55" s="174" t="e">
        <f>T55-X55</f>
        <v>#REF!</v>
      </c>
    </row>
    <row r="56" spans="1:25" s="154" customFormat="1" ht="23.25" customHeight="1" x14ac:dyDescent="0.35">
      <c r="A56" s="149">
        <v>42</v>
      </c>
      <c r="B56" s="145" t="s">
        <v>290</v>
      </c>
      <c r="C56" s="204" t="s">
        <v>260</v>
      </c>
      <c r="D56" s="145" t="s">
        <v>291</v>
      </c>
      <c r="E56" s="149"/>
      <c r="F56" s="147">
        <f>'D. GV TT '!G10</f>
        <v>0</v>
      </c>
      <c r="G56" s="147"/>
      <c r="H56" s="147">
        <f>'D. GV TT '!G8</f>
        <v>1000000</v>
      </c>
      <c r="I56" s="147"/>
      <c r="J56" s="147">
        <f>'D. GV TT '!G22</f>
        <v>200000</v>
      </c>
      <c r="K56" s="147">
        <f>SUM('D. GV TT '!G23:G27)</f>
        <v>962666.66666666674</v>
      </c>
      <c r="L56" s="150"/>
      <c r="M56" s="147"/>
      <c r="N56" s="133">
        <f t="shared" ref="N56:N73" si="7">SUM(F56:K56)+M56</f>
        <v>2162666.666666667</v>
      </c>
      <c r="O56" s="147"/>
      <c r="P56" s="150"/>
      <c r="Q56" s="147"/>
      <c r="R56" s="151"/>
      <c r="S56" s="147">
        <f>'D. GV TT '!G30</f>
        <v>216266.66666666672</v>
      </c>
      <c r="T56" s="133">
        <f t="shared" ref="T56:T73" si="8">N56-O56-Q56-R56-S56</f>
        <v>1946400.0000000002</v>
      </c>
      <c r="U56" s="170" t="s">
        <v>292</v>
      </c>
      <c r="V56" s="152"/>
      <c r="W56" s="196"/>
      <c r="X56" s="153"/>
    </row>
    <row r="57" spans="1:25" ht="23.25" customHeight="1" x14ac:dyDescent="0.3">
      <c r="A57" s="149">
        <v>43</v>
      </c>
      <c r="B57" s="145" t="s">
        <v>293</v>
      </c>
      <c r="C57" s="204" t="s">
        <v>260</v>
      </c>
      <c r="D57" s="145" t="s">
        <v>294</v>
      </c>
      <c r="E57" s="149"/>
      <c r="F57" s="177">
        <f>'D. GV TT '!M10</f>
        <v>120000</v>
      </c>
      <c r="G57" s="177"/>
      <c r="H57" s="177"/>
      <c r="I57" s="177"/>
      <c r="J57" s="177">
        <f>'D. GV TT '!M22</f>
        <v>200000</v>
      </c>
      <c r="K57" s="177">
        <f>SUM('D. GV TT '!M23:M27)</f>
        <v>802000</v>
      </c>
      <c r="L57" s="203"/>
      <c r="M57" s="177"/>
      <c r="N57" s="133">
        <f t="shared" si="7"/>
        <v>1122000</v>
      </c>
      <c r="O57" s="177"/>
      <c r="P57" s="203"/>
      <c r="Q57" s="177"/>
      <c r="R57" s="205"/>
      <c r="S57" s="147">
        <f>'D. GV TT '!M30</f>
        <v>112200</v>
      </c>
      <c r="T57" s="133">
        <f t="shared" si="8"/>
        <v>1009800</v>
      </c>
      <c r="U57" s="170"/>
      <c r="W57" s="246"/>
    </row>
    <row r="58" spans="1:25" ht="23.25" customHeight="1" x14ac:dyDescent="0.3">
      <c r="A58" s="149">
        <v>44</v>
      </c>
      <c r="B58" s="145" t="s">
        <v>295</v>
      </c>
      <c r="C58" s="149" t="s">
        <v>254</v>
      </c>
      <c r="D58" s="145" t="s">
        <v>296</v>
      </c>
      <c r="E58" s="149"/>
      <c r="F58" s="177">
        <f>'D. GV TT '!S10</f>
        <v>0</v>
      </c>
      <c r="G58" s="177"/>
      <c r="H58" s="177"/>
      <c r="I58" s="177"/>
      <c r="J58" s="177">
        <f>'D. GV TT '!S22</f>
        <v>200000</v>
      </c>
      <c r="K58" s="177">
        <f>SUM('D. GV TT '!S23:S27)</f>
        <v>780000</v>
      </c>
      <c r="L58" s="203"/>
      <c r="M58" s="177"/>
      <c r="N58" s="133">
        <f t="shared" si="7"/>
        <v>980000</v>
      </c>
      <c r="O58" s="177"/>
      <c r="P58" s="203"/>
      <c r="Q58" s="177"/>
      <c r="R58" s="205"/>
      <c r="S58" s="147">
        <f>'D. GV TT '!S30</f>
        <v>98000</v>
      </c>
      <c r="T58" s="133">
        <f t="shared" si="8"/>
        <v>882000</v>
      </c>
      <c r="U58" s="170"/>
      <c r="W58" s="246"/>
    </row>
    <row r="59" spans="1:25" ht="23.25" customHeight="1" x14ac:dyDescent="0.3">
      <c r="A59" s="149">
        <v>45</v>
      </c>
      <c r="B59" s="145" t="s">
        <v>297</v>
      </c>
      <c r="C59" s="149" t="s">
        <v>173</v>
      </c>
      <c r="D59" s="145" t="s">
        <v>298</v>
      </c>
      <c r="E59" s="149"/>
      <c r="F59" s="177">
        <f>'D. GV TT '!Y10</f>
        <v>1000000</v>
      </c>
      <c r="G59" s="177"/>
      <c r="H59" s="177">
        <f>'D. GV TT '!Y8</f>
        <v>1000000</v>
      </c>
      <c r="I59" s="177"/>
      <c r="J59" s="177">
        <f>'D. GV TT '!Y22</f>
        <v>200000</v>
      </c>
      <c r="K59" s="177">
        <f>SUM('D. GV TT '!Y23:Y27)</f>
        <v>1532000</v>
      </c>
      <c r="L59" s="203"/>
      <c r="M59" s="177"/>
      <c r="N59" s="133">
        <f t="shared" si="7"/>
        <v>3732000</v>
      </c>
      <c r="O59" s="177"/>
      <c r="P59" s="203"/>
      <c r="Q59" s="177"/>
      <c r="R59" s="205"/>
      <c r="S59" s="147"/>
      <c r="T59" s="133">
        <f t="shared" si="8"/>
        <v>3732000</v>
      </c>
      <c r="U59" s="170" t="s">
        <v>299</v>
      </c>
      <c r="W59" s="246"/>
    </row>
    <row r="60" spans="1:25" ht="23.25" customHeight="1" x14ac:dyDescent="0.3">
      <c r="A60" s="149">
        <v>46</v>
      </c>
      <c r="B60" s="145" t="s">
        <v>300</v>
      </c>
      <c r="C60" s="149" t="s">
        <v>254</v>
      </c>
      <c r="D60" s="145" t="s">
        <v>301</v>
      </c>
      <c r="E60" s="149"/>
      <c r="F60" s="177">
        <f>'D. GV TT '!AE10</f>
        <v>0</v>
      </c>
      <c r="G60" s="177"/>
      <c r="H60" s="177"/>
      <c r="I60" s="177"/>
      <c r="J60" s="177"/>
      <c r="K60" s="177"/>
      <c r="L60" s="203"/>
      <c r="M60" s="177"/>
      <c r="N60" s="133">
        <f t="shared" si="7"/>
        <v>0</v>
      </c>
      <c r="O60" s="177"/>
      <c r="P60" s="203"/>
      <c r="Q60" s="177"/>
      <c r="R60" s="205"/>
      <c r="S60" s="147">
        <f>'D. GV TT '!AE30</f>
        <v>0</v>
      </c>
      <c r="T60" s="133">
        <f t="shared" si="8"/>
        <v>0</v>
      </c>
      <c r="U60" s="170"/>
      <c r="W60" s="246"/>
    </row>
    <row r="61" spans="1:25" ht="23.25" customHeight="1" x14ac:dyDescent="0.3">
      <c r="A61" s="149">
        <v>47</v>
      </c>
      <c r="B61" s="148" t="s">
        <v>302</v>
      </c>
      <c r="C61" s="170" t="s">
        <v>254</v>
      </c>
      <c r="D61" s="145" t="s">
        <v>303</v>
      </c>
      <c r="E61" s="149"/>
      <c r="F61" s="177">
        <f>'D. GV TT '!AK10</f>
        <v>0</v>
      </c>
      <c r="G61" s="177"/>
      <c r="H61" s="177"/>
      <c r="I61" s="177"/>
      <c r="J61" s="177"/>
      <c r="K61" s="177">
        <f>SUM('D. GV TT '!AK23:AK27)</f>
        <v>360000</v>
      </c>
      <c r="L61" s="203"/>
      <c r="M61" s="177"/>
      <c r="N61" s="133">
        <f t="shared" si="7"/>
        <v>360000</v>
      </c>
      <c r="O61" s="177"/>
      <c r="P61" s="203"/>
      <c r="Q61" s="177"/>
      <c r="R61" s="205"/>
      <c r="S61" s="147">
        <f>'D. GV TT '!AK30</f>
        <v>36000</v>
      </c>
      <c r="T61" s="133">
        <f t="shared" si="8"/>
        <v>324000</v>
      </c>
      <c r="U61" s="170"/>
      <c r="W61" s="246"/>
    </row>
    <row r="62" spans="1:25" ht="26.25" customHeight="1" x14ac:dyDescent="0.3">
      <c r="A62" s="149">
        <v>48</v>
      </c>
      <c r="B62" s="145" t="s">
        <v>304</v>
      </c>
      <c r="C62" s="149" t="s">
        <v>173</v>
      </c>
      <c r="D62" s="145" t="s">
        <v>305</v>
      </c>
      <c r="E62" s="149"/>
      <c r="F62" s="177">
        <f>'D. GV TT '!AQ10</f>
        <v>1000000</v>
      </c>
      <c r="G62" s="177"/>
      <c r="H62" s="177">
        <f>'D. GV TT '!AQ8</f>
        <v>1000000</v>
      </c>
      <c r="I62" s="177"/>
      <c r="J62" s="177">
        <f>'D. GV TT '!AQ22</f>
        <v>200000</v>
      </c>
      <c r="K62" s="177">
        <f>SUM('D. GV TT '!AQ23:AQ27)</f>
        <v>1705333.1</v>
      </c>
      <c r="L62" s="203"/>
      <c r="M62" s="177"/>
      <c r="N62" s="133">
        <f t="shared" si="7"/>
        <v>3905333.1</v>
      </c>
      <c r="O62" s="177"/>
      <c r="P62" s="203"/>
      <c r="Q62" s="177"/>
      <c r="R62" s="205"/>
      <c r="S62" s="147"/>
      <c r="T62" s="133">
        <f t="shared" si="8"/>
        <v>3905333.1</v>
      </c>
      <c r="U62" s="170" t="s">
        <v>306</v>
      </c>
      <c r="W62" s="246"/>
    </row>
    <row r="63" spans="1:25" ht="23.25" customHeight="1" x14ac:dyDescent="0.3">
      <c r="A63" s="149">
        <v>49</v>
      </c>
      <c r="B63" s="145" t="s">
        <v>307</v>
      </c>
      <c r="C63" s="149" t="s">
        <v>254</v>
      </c>
      <c r="D63" s="145" t="s">
        <v>308</v>
      </c>
      <c r="E63" s="149"/>
      <c r="F63" s="177">
        <f>'D. GV TT '!AW10</f>
        <v>0</v>
      </c>
      <c r="G63" s="177"/>
      <c r="H63" s="177"/>
      <c r="I63" s="177"/>
      <c r="J63" s="177">
        <f>'D. GV TT '!AW22</f>
        <v>200000</v>
      </c>
      <c r="K63" s="177">
        <f>SUM('D. GV TT '!AW23:AW27)</f>
        <v>616000</v>
      </c>
      <c r="L63" s="203"/>
      <c r="M63" s="177"/>
      <c r="N63" s="133">
        <f t="shared" si="7"/>
        <v>816000</v>
      </c>
      <c r="O63" s="177"/>
      <c r="P63" s="203"/>
      <c r="Q63" s="177"/>
      <c r="R63" s="205"/>
      <c r="S63" s="147">
        <f>'D. GV TT '!AW30</f>
        <v>81600</v>
      </c>
      <c r="T63" s="133">
        <f t="shared" si="8"/>
        <v>734400</v>
      </c>
      <c r="U63" s="170"/>
      <c r="W63" s="246"/>
    </row>
    <row r="64" spans="1:25" ht="23.25" customHeight="1" x14ac:dyDescent="0.3">
      <c r="A64" s="149">
        <v>50</v>
      </c>
      <c r="B64" s="145" t="s">
        <v>309</v>
      </c>
      <c r="C64" s="149" t="s">
        <v>173</v>
      </c>
      <c r="D64" s="145" t="s">
        <v>310</v>
      </c>
      <c r="E64" s="149"/>
      <c r="F64" s="177">
        <f>'D. GV TT '!BC10</f>
        <v>400000</v>
      </c>
      <c r="G64" s="177"/>
      <c r="H64" s="177"/>
      <c r="I64" s="177"/>
      <c r="J64" s="177">
        <f>'D. GV TT '!BC22</f>
        <v>200000</v>
      </c>
      <c r="K64" s="177">
        <f>SUM('D. GV TT '!BC23:BC27)</f>
        <v>412000</v>
      </c>
      <c r="L64" s="203"/>
      <c r="M64" s="177"/>
      <c r="N64" s="133">
        <f t="shared" si="7"/>
        <v>1012000</v>
      </c>
      <c r="O64" s="177"/>
      <c r="P64" s="203"/>
      <c r="Q64" s="177"/>
      <c r="R64" s="205"/>
      <c r="S64" s="147"/>
      <c r="T64" s="133">
        <f t="shared" si="8"/>
        <v>1012000</v>
      </c>
      <c r="U64" s="170"/>
      <c r="W64" s="246"/>
    </row>
    <row r="65" spans="1:788 1033:1812 2057:2836 3081:3860 4105:4884 5129:5908 6153:6932 7177:7956 8201:8980 9225:10004 10249:11028 11273:12052 12297:13076 13321:14100 14345:15124 15369:16148" ht="23.25" customHeight="1" x14ac:dyDescent="0.3">
      <c r="A65" s="149">
        <v>51</v>
      </c>
      <c r="B65" s="145" t="s">
        <v>311</v>
      </c>
      <c r="C65" s="204" t="s">
        <v>260</v>
      </c>
      <c r="D65" s="145" t="s">
        <v>230</v>
      </c>
      <c r="E65" s="149"/>
      <c r="F65" s="177">
        <f>'D. GV TT '!BI10</f>
        <v>0</v>
      </c>
      <c r="G65" s="177"/>
      <c r="H65" s="177"/>
      <c r="I65" s="177"/>
      <c r="J65" s="177">
        <f>'D. GV TT '!BI22</f>
        <v>200000</v>
      </c>
      <c r="K65" s="177"/>
      <c r="L65" s="203"/>
      <c r="M65" s="177"/>
      <c r="N65" s="133">
        <f t="shared" si="7"/>
        <v>200000</v>
      </c>
      <c r="O65" s="177"/>
      <c r="P65" s="203"/>
      <c r="Q65" s="177"/>
      <c r="R65" s="205"/>
      <c r="S65" s="147">
        <f>'D. GV TT '!BI30</f>
        <v>0</v>
      </c>
      <c r="T65" s="133">
        <f t="shared" si="8"/>
        <v>200000</v>
      </c>
      <c r="U65" s="170"/>
      <c r="W65" s="246"/>
    </row>
    <row r="66" spans="1:788 1033:1812 2057:2836 3081:3860 4105:4884 5129:5908 6153:6932 7177:7956 8201:8980 9225:10004 10249:11028 11273:12052 12297:13076 13321:14100 14345:15124 15369:16148" ht="27.75" customHeight="1" x14ac:dyDescent="0.3">
      <c r="A66" s="149">
        <v>52</v>
      </c>
      <c r="B66" s="145" t="s">
        <v>312</v>
      </c>
      <c r="C66" s="149" t="s">
        <v>234</v>
      </c>
      <c r="D66" s="145" t="s">
        <v>313</v>
      </c>
      <c r="E66" s="149"/>
      <c r="F66" s="177">
        <f>'D. GV TT '!BO10</f>
        <v>0</v>
      </c>
      <c r="G66" s="177"/>
      <c r="H66" s="177"/>
      <c r="I66" s="177"/>
      <c r="J66" s="177">
        <f>'D. GV TT '!BO22</f>
        <v>200000</v>
      </c>
      <c r="K66" s="177">
        <f>SUM('D. GV TT '!BO23:BO27)</f>
        <v>172000</v>
      </c>
      <c r="L66" s="203"/>
      <c r="M66" s="177"/>
      <c r="N66" s="133">
        <f t="shared" si="7"/>
        <v>372000</v>
      </c>
      <c r="O66" s="177"/>
      <c r="P66" s="203"/>
      <c r="Q66" s="177"/>
      <c r="R66" s="205"/>
      <c r="S66" s="147"/>
      <c r="T66" s="133">
        <f t="shared" si="8"/>
        <v>372000</v>
      </c>
      <c r="U66" s="170"/>
      <c r="W66" s="246"/>
    </row>
    <row r="67" spans="1:788 1033:1812 2057:2836 3081:3860 4105:4884 5129:5908 6153:6932 7177:7956 8201:8980 9225:10004 10249:11028 11273:12052 12297:13076 13321:14100 14345:15124 15369:16148" ht="23.25" customHeight="1" x14ac:dyDescent="0.3">
      <c r="A67" s="149">
        <v>53</v>
      </c>
      <c r="B67" s="145" t="s">
        <v>314</v>
      </c>
      <c r="C67" s="149" t="s">
        <v>173</v>
      </c>
      <c r="D67" s="145" t="s">
        <v>315</v>
      </c>
      <c r="E67" s="149"/>
      <c r="F67" s="177">
        <f>'D. GV TT '!BU10</f>
        <v>0</v>
      </c>
      <c r="G67" s="177"/>
      <c r="H67" s="177"/>
      <c r="I67" s="177"/>
      <c r="J67" s="177">
        <f>'D. GV TT '!BU22</f>
        <v>200000</v>
      </c>
      <c r="K67" s="177">
        <f>SUM('D. GV TT '!BU23:BU27)</f>
        <v>110000</v>
      </c>
      <c r="L67" s="203"/>
      <c r="M67" s="177"/>
      <c r="N67" s="133">
        <f t="shared" si="7"/>
        <v>310000</v>
      </c>
      <c r="O67" s="177"/>
      <c r="P67" s="203"/>
      <c r="Q67" s="177"/>
      <c r="R67" s="205"/>
      <c r="S67" s="147"/>
      <c r="T67" s="133">
        <f t="shared" si="8"/>
        <v>310000</v>
      </c>
      <c r="U67" s="170"/>
      <c r="W67" s="246"/>
    </row>
    <row r="68" spans="1:788 1033:1812 2057:2836 3081:3860 4105:4884 5129:5908 6153:6932 7177:7956 8201:8980 9225:10004 10249:11028 11273:12052 12297:13076 13321:14100 14345:15124 15369:16148" ht="15.75" customHeight="1" x14ac:dyDescent="0.3">
      <c r="A68" s="149">
        <v>54</v>
      </c>
      <c r="B68" s="145" t="s">
        <v>316</v>
      </c>
      <c r="C68" s="149" t="s">
        <v>173</v>
      </c>
      <c r="D68" s="145" t="s">
        <v>317</v>
      </c>
      <c r="E68" s="149"/>
      <c r="F68" s="177">
        <f>'D. GV TT '!CA10</f>
        <v>0</v>
      </c>
      <c r="G68" s="177"/>
      <c r="H68" s="177"/>
      <c r="I68" s="177"/>
      <c r="J68" s="177">
        <f>'D. GV TT '!CA22</f>
        <v>200000</v>
      </c>
      <c r="K68" s="177">
        <f>SUM('D. GV TT '!CA23:CA27)</f>
        <v>862000</v>
      </c>
      <c r="L68" s="203"/>
      <c r="M68" s="177"/>
      <c r="N68" s="133">
        <f t="shared" si="7"/>
        <v>1062000</v>
      </c>
      <c r="O68" s="177"/>
      <c r="P68" s="203"/>
      <c r="Q68" s="177"/>
      <c r="R68" s="205"/>
      <c r="S68" s="147"/>
      <c r="T68" s="133">
        <f t="shared" si="8"/>
        <v>1062000</v>
      </c>
      <c r="U68" s="170"/>
      <c r="W68" s="246" t="s">
        <v>318</v>
      </c>
    </row>
    <row r="69" spans="1:788 1033:1812 2057:2836 3081:3860 4105:4884 5129:5908 6153:6932 7177:7956 8201:8980 9225:10004 10249:11028 11273:12052 12297:13076 13321:14100 14345:15124 15369:16148" ht="21.75" customHeight="1" x14ac:dyDescent="0.3">
      <c r="A69" s="149">
        <v>55</v>
      </c>
      <c r="B69" s="145" t="s">
        <v>319</v>
      </c>
      <c r="C69" s="149" t="s">
        <v>254</v>
      </c>
      <c r="D69" s="145" t="s">
        <v>320</v>
      </c>
      <c r="E69" s="149"/>
      <c r="F69" s="177">
        <f>'D. GV TT '!CG10</f>
        <v>0</v>
      </c>
      <c r="G69" s="177"/>
      <c r="H69" s="177"/>
      <c r="I69" s="177"/>
      <c r="J69" s="177">
        <f>'D. GV TT '!CG22</f>
        <v>0</v>
      </c>
      <c r="K69" s="177">
        <f>SUM('D. GV TT '!CG23:CG27)</f>
        <v>0</v>
      </c>
      <c r="L69" s="203"/>
      <c r="M69" s="177"/>
      <c r="N69" s="133">
        <f t="shared" si="7"/>
        <v>0</v>
      </c>
      <c r="O69" s="177"/>
      <c r="P69" s="203"/>
      <c r="Q69" s="177"/>
      <c r="R69" s="205"/>
      <c r="S69" s="147">
        <f>'D. GV TT '!CG30</f>
        <v>0</v>
      </c>
      <c r="T69" s="133">
        <f t="shared" si="8"/>
        <v>0</v>
      </c>
      <c r="U69" s="170"/>
      <c r="V69" s="186" t="s">
        <v>321</v>
      </c>
      <c r="W69" s="246"/>
    </row>
    <row r="70" spans="1:788 1033:1812 2057:2836 3081:3860 4105:4884 5129:5908 6153:6932 7177:7956 8201:8980 9225:10004 10249:11028 11273:12052 12297:13076 13321:14100 14345:15124 15369:16148" s="154" customFormat="1" ht="27.75" customHeight="1" x14ac:dyDescent="0.3">
      <c r="A70" s="149">
        <v>56</v>
      </c>
      <c r="B70" s="145" t="s">
        <v>322</v>
      </c>
      <c r="C70" s="149" t="s">
        <v>254</v>
      </c>
      <c r="D70" s="145" t="s">
        <v>323</v>
      </c>
      <c r="E70" s="149"/>
      <c r="F70" s="147">
        <f>'D. GV TT '!CM10</f>
        <v>0</v>
      </c>
      <c r="G70" s="147"/>
      <c r="H70" s="147"/>
      <c r="I70" s="147"/>
      <c r="J70" s="147">
        <f>'D. GV TT '!CM22</f>
        <v>0</v>
      </c>
      <c r="K70" s="147">
        <f>SUM('D. GV TT '!CM23:CM27)</f>
        <v>222000</v>
      </c>
      <c r="L70" s="150"/>
      <c r="M70" s="147"/>
      <c r="N70" s="133">
        <f t="shared" si="7"/>
        <v>222000</v>
      </c>
      <c r="O70" s="147"/>
      <c r="P70" s="150"/>
      <c r="Q70" s="147"/>
      <c r="R70" s="151"/>
      <c r="S70" s="147">
        <f>'D. GV TT '!CM30</f>
        <v>22200</v>
      </c>
      <c r="T70" s="133">
        <f t="shared" si="8"/>
        <v>199800</v>
      </c>
      <c r="U70" s="170"/>
      <c r="V70" s="152"/>
      <c r="W70" s="196"/>
      <c r="X70" s="153"/>
      <c r="JE70" s="185"/>
      <c r="JK70" s="185"/>
      <c r="JN70" s="185"/>
      <c r="JO70" s="185"/>
      <c r="JP70" s="185"/>
      <c r="TA70" s="185"/>
      <c r="TG70" s="185"/>
      <c r="TJ70" s="185"/>
      <c r="TK70" s="185"/>
      <c r="TL70" s="185"/>
      <c r="ACW70" s="185"/>
      <c r="ADC70" s="185"/>
      <c r="ADF70" s="185"/>
      <c r="ADG70" s="185"/>
      <c r="ADH70" s="185"/>
      <c r="AMS70" s="185"/>
      <c r="AMY70" s="185"/>
      <c r="ANB70" s="185"/>
      <c r="ANC70" s="185"/>
      <c r="AND70" s="185"/>
      <c r="AWO70" s="185"/>
      <c r="AWU70" s="185"/>
      <c r="AWX70" s="185"/>
      <c r="AWY70" s="185"/>
      <c r="AWZ70" s="185"/>
      <c r="BGK70" s="185"/>
      <c r="BGQ70" s="185"/>
      <c r="BGT70" s="185"/>
      <c r="BGU70" s="185"/>
      <c r="BGV70" s="185"/>
      <c r="BQG70" s="185"/>
      <c r="BQM70" s="185"/>
      <c r="BQP70" s="185"/>
      <c r="BQQ70" s="185"/>
      <c r="BQR70" s="185"/>
      <c r="CAC70" s="185"/>
      <c r="CAI70" s="185"/>
      <c r="CAL70" s="185"/>
      <c r="CAM70" s="185"/>
      <c r="CAN70" s="185"/>
      <c r="CJY70" s="185"/>
      <c r="CKE70" s="185"/>
      <c r="CKH70" s="185"/>
      <c r="CKI70" s="185"/>
      <c r="CKJ70" s="185"/>
      <c r="CTU70" s="185"/>
      <c r="CUA70" s="185"/>
      <c r="CUD70" s="185"/>
      <c r="CUE70" s="185"/>
      <c r="CUF70" s="185"/>
      <c r="DDQ70" s="185"/>
      <c r="DDW70" s="185"/>
      <c r="DDZ70" s="185"/>
      <c r="DEA70" s="185"/>
      <c r="DEB70" s="185"/>
      <c r="DNM70" s="185"/>
      <c r="DNS70" s="185"/>
      <c r="DNV70" s="185"/>
      <c r="DNW70" s="185"/>
      <c r="DNX70" s="185"/>
      <c r="DXI70" s="185"/>
      <c r="DXO70" s="185"/>
      <c r="DXR70" s="185"/>
      <c r="DXS70" s="185"/>
      <c r="DXT70" s="185"/>
      <c r="EHE70" s="185"/>
      <c r="EHK70" s="185"/>
      <c r="EHN70" s="185"/>
      <c r="EHO70" s="185"/>
      <c r="EHP70" s="185"/>
      <c r="ERA70" s="185"/>
      <c r="ERG70" s="185"/>
      <c r="ERJ70" s="185"/>
      <c r="ERK70" s="185"/>
      <c r="ERL70" s="185"/>
      <c r="FAW70" s="185"/>
      <c r="FBC70" s="185"/>
      <c r="FBF70" s="185"/>
      <c r="FBG70" s="185"/>
      <c r="FBH70" s="185"/>
      <c r="FKS70" s="185"/>
      <c r="FKY70" s="185"/>
      <c r="FLB70" s="185"/>
      <c r="FLC70" s="185"/>
      <c r="FLD70" s="185"/>
      <c r="FUO70" s="185"/>
      <c r="FUU70" s="185"/>
      <c r="FUX70" s="185"/>
      <c r="FUY70" s="185"/>
      <c r="FUZ70" s="185"/>
      <c r="GEK70" s="185"/>
      <c r="GEQ70" s="185"/>
      <c r="GET70" s="185"/>
      <c r="GEU70" s="185"/>
      <c r="GEV70" s="185"/>
      <c r="GOG70" s="185"/>
      <c r="GOM70" s="185"/>
      <c r="GOP70" s="185"/>
      <c r="GOQ70" s="185"/>
      <c r="GOR70" s="185"/>
      <c r="GYC70" s="185"/>
      <c r="GYI70" s="185"/>
      <c r="GYL70" s="185"/>
      <c r="GYM70" s="185"/>
      <c r="GYN70" s="185"/>
      <c r="HHY70" s="185"/>
      <c r="HIE70" s="185"/>
      <c r="HIH70" s="185"/>
      <c r="HII70" s="185"/>
      <c r="HIJ70" s="185"/>
      <c r="HRU70" s="185"/>
      <c r="HSA70" s="185"/>
      <c r="HSD70" s="185"/>
      <c r="HSE70" s="185"/>
      <c r="HSF70" s="185"/>
      <c r="IBQ70" s="185"/>
      <c r="IBW70" s="185"/>
      <c r="IBZ70" s="185"/>
      <c r="ICA70" s="185"/>
      <c r="ICB70" s="185"/>
      <c r="ILM70" s="185"/>
      <c r="ILS70" s="185"/>
      <c r="ILV70" s="185"/>
      <c r="ILW70" s="185"/>
      <c r="ILX70" s="185"/>
      <c r="IVI70" s="185"/>
      <c r="IVO70" s="185"/>
      <c r="IVR70" s="185"/>
      <c r="IVS70" s="185"/>
      <c r="IVT70" s="185"/>
      <c r="JFE70" s="185"/>
      <c r="JFK70" s="185"/>
      <c r="JFN70" s="185"/>
      <c r="JFO70" s="185"/>
      <c r="JFP70" s="185"/>
      <c r="JPA70" s="185"/>
      <c r="JPG70" s="185"/>
      <c r="JPJ70" s="185"/>
      <c r="JPK70" s="185"/>
      <c r="JPL70" s="185"/>
      <c r="JYW70" s="185"/>
      <c r="JZC70" s="185"/>
      <c r="JZF70" s="185"/>
      <c r="JZG70" s="185"/>
      <c r="JZH70" s="185"/>
      <c r="KIS70" s="185"/>
      <c r="KIY70" s="185"/>
      <c r="KJB70" s="185"/>
      <c r="KJC70" s="185"/>
      <c r="KJD70" s="185"/>
      <c r="KSO70" s="185"/>
      <c r="KSU70" s="185"/>
      <c r="KSX70" s="185"/>
      <c r="KSY70" s="185"/>
      <c r="KSZ70" s="185"/>
      <c r="LCK70" s="185"/>
      <c r="LCQ70" s="185"/>
      <c r="LCT70" s="185"/>
      <c r="LCU70" s="185"/>
      <c r="LCV70" s="185"/>
      <c r="LMG70" s="185"/>
      <c r="LMM70" s="185"/>
      <c r="LMP70" s="185"/>
      <c r="LMQ70" s="185"/>
      <c r="LMR70" s="185"/>
      <c r="LWC70" s="185"/>
      <c r="LWI70" s="185"/>
      <c r="LWL70" s="185"/>
      <c r="LWM70" s="185"/>
      <c r="LWN70" s="185"/>
      <c r="MFY70" s="185"/>
      <c r="MGE70" s="185"/>
      <c r="MGH70" s="185"/>
      <c r="MGI70" s="185"/>
      <c r="MGJ70" s="185"/>
      <c r="MPU70" s="185"/>
      <c r="MQA70" s="185"/>
      <c r="MQD70" s="185"/>
      <c r="MQE70" s="185"/>
      <c r="MQF70" s="185"/>
      <c r="MZQ70" s="185"/>
      <c r="MZW70" s="185"/>
      <c r="MZZ70" s="185"/>
      <c r="NAA70" s="185"/>
      <c r="NAB70" s="185"/>
      <c r="NJM70" s="185"/>
      <c r="NJS70" s="185"/>
      <c r="NJV70" s="185"/>
      <c r="NJW70" s="185"/>
      <c r="NJX70" s="185"/>
      <c r="NTI70" s="185"/>
      <c r="NTO70" s="185"/>
      <c r="NTR70" s="185"/>
      <c r="NTS70" s="185"/>
      <c r="NTT70" s="185"/>
      <c r="ODE70" s="185"/>
      <c r="ODK70" s="185"/>
      <c r="ODN70" s="185"/>
      <c r="ODO70" s="185"/>
      <c r="ODP70" s="185"/>
      <c r="ONA70" s="185"/>
      <c r="ONG70" s="185"/>
      <c r="ONJ70" s="185"/>
      <c r="ONK70" s="185"/>
      <c r="ONL70" s="185"/>
      <c r="OWW70" s="185"/>
      <c r="OXC70" s="185"/>
      <c r="OXF70" s="185"/>
      <c r="OXG70" s="185"/>
      <c r="OXH70" s="185"/>
      <c r="PGS70" s="185"/>
      <c r="PGY70" s="185"/>
      <c r="PHB70" s="185"/>
      <c r="PHC70" s="185"/>
      <c r="PHD70" s="185"/>
      <c r="PQO70" s="185"/>
      <c r="PQU70" s="185"/>
      <c r="PQX70" s="185"/>
      <c r="PQY70" s="185"/>
      <c r="PQZ70" s="185"/>
      <c r="QAK70" s="185"/>
      <c r="QAQ70" s="185"/>
      <c r="QAT70" s="185"/>
      <c r="QAU70" s="185"/>
      <c r="QAV70" s="185"/>
      <c r="QKG70" s="185"/>
      <c r="QKM70" s="185"/>
      <c r="QKP70" s="185"/>
      <c r="QKQ70" s="185"/>
      <c r="QKR70" s="185"/>
      <c r="QUC70" s="185"/>
      <c r="QUI70" s="185"/>
      <c r="QUL70" s="185"/>
      <c r="QUM70" s="185"/>
      <c r="QUN70" s="185"/>
      <c r="RDY70" s="185"/>
      <c r="REE70" s="185"/>
      <c r="REH70" s="185"/>
      <c r="REI70" s="185"/>
      <c r="REJ70" s="185"/>
      <c r="RNU70" s="185"/>
      <c r="ROA70" s="185"/>
      <c r="ROD70" s="185"/>
      <c r="ROE70" s="185"/>
      <c r="ROF70" s="185"/>
      <c r="RXQ70" s="185"/>
      <c r="RXW70" s="185"/>
      <c r="RXZ70" s="185"/>
      <c r="RYA70" s="185"/>
      <c r="RYB70" s="185"/>
      <c r="SHM70" s="185"/>
      <c r="SHS70" s="185"/>
      <c r="SHV70" s="185"/>
      <c r="SHW70" s="185"/>
      <c r="SHX70" s="185"/>
      <c r="SRI70" s="185"/>
      <c r="SRO70" s="185"/>
      <c r="SRR70" s="185"/>
      <c r="SRS70" s="185"/>
      <c r="SRT70" s="185"/>
      <c r="TBE70" s="185"/>
      <c r="TBK70" s="185"/>
      <c r="TBN70" s="185"/>
      <c r="TBO70" s="185"/>
      <c r="TBP70" s="185"/>
      <c r="TLA70" s="185"/>
      <c r="TLG70" s="185"/>
      <c r="TLJ70" s="185"/>
      <c r="TLK70" s="185"/>
      <c r="TLL70" s="185"/>
      <c r="TUW70" s="185"/>
      <c r="TVC70" s="185"/>
      <c r="TVF70" s="185"/>
      <c r="TVG70" s="185"/>
      <c r="TVH70" s="185"/>
      <c r="UES70" s="185"/>
      <c r="UEY70" s="185"/>
      <c r="UFB70" s="185"/>
      <c r="UFC70" s="185"/>
      <c r="UFD70" s="185"/>
      <c r="UOO70" s="185"/>
      <c r="UOU70" s="185"/>
      <c r="UOX70" s="185"/>
      <c r="UOY70" s="185"/>
      <c r="UOZ70" s="185"/>
      <c r="UYK70" s="185"/>
      <c r="UYQ70" s="185"/>
      <c r="UYT70" s="185"/>
      <c r="UYU70" s="185"/>
      <c r="UYV70" s="185"/>
      <c r="VIG70" s="185"/>
      <c r="VIM70" s="185"/>
      <c r="VIP70" s="185"/>
      <c r="VIQ70" s="185"/>
      <c r="VIR70" s="185"/>
      <c r="VSC70" s="185"/>
      <c r="VSI70" s="185"/>
      <c r="VSL70" s="185"/>
      <c r="VSM70" s="185"/>
      <c r="VSN70" s="185"/>
      <c r="WBY70" s="185"/>
      <c r="WCE70" s="185"/>
      <c r="WCH70" s="185"/>
      <c r="WCI70" s="185"/>
      <c r="WCJ70" s="185"/>
      <c r="WLU70" s="185"/>
      <c r="WMA70" s="185"/>
      <c r="WMD70" s="185"/>
      <c r="WME70" s="185"/>
      <c r="WMF70" s="185"/>
      <c r="WVQ70" s="185"/>
      <c r="WVW70" s="185"/>
      <c r="WVZ70" s="185"/>
      <c r="WWA70" s="185"/>
      <c r="WWB70" s="185"/>
    </row>
    <row r="71" spans="1:788 1033:1812 2057:2836 3081:3860 4105:4884 5129:5908 6153:6932 7177:7956 8201:8980 9225:10004 10249:11028 11273:12052 12297:13076 13321:14100 14345:15124 15369:16148" ht="27.75" customHeight="1" x14ac:dyDescent="0.3">
      <c r="A71" s="149">
        <v>57</v>
      </c>
      <c r="B71" s="145" t="s">
        <v>324</v>
      </c>
      <c r="C71" s="149"/>
      <c r="D71" s="145" t="s">
        <v>325</v>
      </c>
      <c r="E71" s="149"/>
      <c r="F71" s="177" t="e">
        <f>'D. GV TT '!#REF!</f>
        <v>#REF!</v>
      </c>
      <c r="G71" s="177"/>
      <c r="H71" s="177"/>
      <c r="I71" s="177"/>
      <c r="J71" s="177"/>
      <c r="K71" s="177"/>
      <c r="L71" s="203"/>
      <c r="M71" s="177"/>
      <c r="N71" s="133" t="e">
        <f t="shared" si="7"/>
        <v>#REF!</v>
      </c>
      <c r="O71" s="177"/>
      <c r="P71" s="203"/>
      <c r="Q71" s="177"/>
      <c r="R71" s="205"/>
      <c r="S71" s="147"/>
      <c r="T71" s="133" t="e">
        <f t="shared" si="8"/>
        <v>#REF!</v>
      </c>
      <c r="U71" s="170"/>
      <c r="W71" s="246" t="s">
        <v>326</v>
      </c>
    </row>
    <row r="72" spans="1:788 1033:1812 2057:2836 3081:3860 4105:4884 5129:5908 6153:6932 7177:7956 8201:8980 9225:10004 10249:11028 11273:12052 12297:13076 13321:14100 14345:15124 15369:16148" ht="27.75" customHeight="1" x14ac:dyDescent="0.3">
      <c r="A72" s="149">
        <v>58</v>
      </c>
      <c r="B72" s="145" t="s">
        <v>327</v>
      </c>
      <c r="C72" s="149" t="s">
        <v>209</v>
      </c>
      <c r="D72" s="145" t="s">
        <v>325</v>
      </c>
      <c r="E72" s="149"/>
      <c r="F72" s="177" t="e">
        <f>'D. GV TT '!#REF!</f>
        <v>#REF!</v>
      </c>
      <c r="G72" s="177"/>
      <c r="H72" s="177"/>
      <c r="I72" s="177"/>
      <c r="J72" s="177"/>
      <c r="K72" s="177"/>
      <c r="L72" s="203"/>
      <c r="M72" s="177"/>
      <c r="N72" s="133" t="e">
        <f t="shared" si="7"/>
        <v>#REF!</v>
      </c>
      <c r="O72" s="177"/>
      <c r="P72" s="203"/>
      <c r="Q72" s="177"/>
      <c r="R72" s="205"/>
      <c r="S72" s="147"/>
      <c r="T72" s="133" t="e">
        <f t="shared" si="8"/>
        <v>#REF!</v>
      </c>
      <c r="U72" s="170"/>
      <c r="W72" s="246" t="s">
        <v>326</v>
      </c>
    </row>
    <row r="73" spans="1:788 1033:1812 2057:2836 3081:3860 4105:4884 5129:5908 6153:6932 7177:7956 8201:8980 9225:10004 10249:11028 11273:12052 12297:13076 13321:14100 14345:15124 15369:16148" s="154" customFormat="1" ht="23.25" customHeight="1" x14ac:dyDescent="0.35">
      <c r="A73" s="149">
        <v>59</v>
      </c>
      <c r="B73" s="145" t="s">
        <v>328</v>
      </c>
      <c r="C73" s="149" t="s">
        <v>329</v>
      </c>
      <c r="D73" s="145" t="s">
        <v>325</v>
      </c>
      <c r="E73" s="149"/>
      <c r="F73" s="147" t="e">
        <f>'D. GV TT '!#REF!</f>
        <v>#REF!</v>
      </c>
      <c r="G73" s="147"/>
      <c r="H73" s="147"/>
      <c r="I73" s="147"/>
      <c r="J73" s="147"/>
      <c r="K73" s="147"/>
      <c r="L73" s="150"/>
      <c r="M73" s="147"/>
      <c r="N73" s="133" t="e">
        <f t="shared" si="7"/>
        <v>#REF!</v>
      </c>
      <c r="O73" s="147"/>
      <c r="P73" s="150"/>
      <c r="Q73" s="147"/>
      <c r="R73" s="151"/>
      <c r="S73" s="147"/>
      <c r="T73" s="133" t="e">
        <f t="shared" si="8"/>
        <v>#REF!</v>
      </c>
      <c r="U73" s="170"/>
      <c r="V73" s="152"/>
      <c r="W73" s="196" t="s">
        <v>326</v>
      </c>
      <c r="X73" s="153"/>
    </row>
    <row r="74" spans="1:788 1033:1812 2057:2836 3081:3860 4105:4884 5129:5908 6153:6932 7177:7956 8201:8980 9225:10004 10249:11028 11273:12052 12297:13076 13321:14100 14345:15124 15369:16148" ht="24" customHeight="1" x14ac:dyDescent="0.35">
      <c r="A74" s="316" t="s">
        <v>330</v>
      </c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80"/>
      <c r="U74" s="200" t="e">
        <f>SUM(T56:T73)</f>
        <v>#REF!</v>
      </c>
    </row>
    <row r="75" spans="1:788 1033:1812 2057:2836 3081:3860 4105:4884 5129:5908 6153:6932 7177:7956 8201:8980 9225:10004 10249:11028 11273:12052 12297:13076 13321:14100 14345:15124 15369:16148" s="154" customFormat="1" ht="26.25" customHeight="1" x14ac:dyDescent="0.35">
      <c r="A75" s="195" t="s">
        <v>331</v>
      </c>
      <c r="B75" s="314" t="s">
        <v>332</v>
      </c>
      <c r="C75" s="279"/>
      <c r="D75" s="279"/>
      <c r="E75" s="279"/>
      <c r="F75" s="279"/>
      <c r="G75" s="279"/>
      <c r="H75" s="279"/>
      <c r="I75" s="280"/>
      <c r="J75" s="147"/>
      <c r="K75" s="147"/>
      <c r="L75" s="150"/>
      <c r="M75" s="147"/>
      <c r="N75" s="133"/>
      <c r="O75" s="177"/>
      <c r="P75" s="203"/>
      <c r="Q75" s="177"/>
      <c r="R75" s="151"/>
      <c r="S75" s="177"/>
      <c r="T75" s="133"/>
      <c r="U75" s="170"/>
      <c r="V75" s="202"/>
      <c r="W75" s="171"/>
      <c r="X75" s="153" t="e">
        <f>'[1]chi tiết lương từng người '!J89</f>
        <v>#REF!</v>
      </c>
      <c r="Y75" s="174" t="e">
        <f>T75-X75</f>
        <v>#REF!</v>
      </c>
    </row>
    <row r="76" spans="1:788 1033:1812 2057:2836 3081:3860 4105:4884 5129:5908 6153:6932 7177:7956 8201:8980 9225:10004 10249:11028 11273:12052 12297:13076 13321:14100 14345:15124 15369:16148" s="154" customFormat="1" ht="28.5" customHeight="1" x14ac:dyDescent="0.3">
      <c r="A76" s="149">
        <v>60</v>
      </c>
      <c r="B76" s="145" t="s">
        <v>333</v>
      </c>
      <c r="C76" s="149" t="s">
        <v>254</v>
      </c>
      <c r="D76" s="145" t="s">
        <v>334</v>
      </c>
      <c r="E76" s="149">
        <v>26</v>
      </c>
      <c r="F76" s="147" t="e">
        <f>#REF!</f>
        <v>#REF!</v>
      </c>
      <c r="G76" s="147"/>
      <c r="H76" s="147" t="e">
        <f>#REF!</f>
        <v>#REF!</v>
      </c>
      <c r="I76" s="147"/>
      <c r="J76" s="147"/>
      <c r="K76" s="147"/>
      <c r="L76" s="150"/>
      <c r="M76" s="147"/>
      <c r="N76" s="133" t="e">
        <f t="shared" ref="N76:N84" si="9">SUM(F76:K76)+M76</f>
        <v>#REF!</v>
      </c>
      <c r="O76" s="147"/>
      <c r="P76" s="150"/>
      <c r="Q76" s="147" t="e">
        <f>F76/E76*P76</f>
        <v>#REF!</v>
      </c>
      <c r="R76" s="151"/>
      <c r="S76" s="147" t="e">
        <f>#REF!</f>
        <v>#REF!</v>
      </c>
      <c r="T76" s="133" t="e">
        <f t="shared" ref="T76:T84" si="10">N76-O76-Q76-R76-S76</f>
        <v>#REF!</v>
      </c>
      <c r="U76" s="170" t="s">
        <v>335</v>
      </c>
      <c r="V76" s="152"/>
      <c r="W76" s="246" t="s">
        <v>336</v>
      </c>
      <c r="X76" s="153"/>
    </row>
    <row r="77" spans="1:788 1033:1812 2057:2836 3081:3860 4105:4884 5129:5908 6153:6932 7177:7956 8201:8980 9225:10004 10249:11028 11273:12052 12297:13076 13321:14100 14345:15124 15369:16148" s="154" customFormat="1" ht="19.5" customHeight="1" x14ac:dyDescent="0.3">
      <c r="A77" s="149">
        <v>61</v>
      </c>
      <c r="B77" s="145" t="s">
        <v>337</v>
      </c>
      <c r="C77" s="149" t="s">
        <v>338</v>
      </c>
      <c r="D77" s="145" t="s">
        <v>334</v>
      </c>
      <c r="E77" s="149">
        <v>26</v>
      </c>
      <c r="F77" s="147" t="e">
        <f>#REF!</f>
        <v>#REF!</v>
      </c>
      <c r="G77" s="147"/>
      <c r="H77" s="147" t="e">
        <f>#REF!</f>
        <v>#REF!</v>
      </c>
      <c r="I77" s="147"/>
      <c r="J77" s="147" t="e">
        <f>#REF!</f>
        <v>#REF!</v>
      </c>
      <c r="K77" s="147"/>
      <c r="L77" s="150"/>
      <c r="M77" s="147"/>
      <c r="N77" s="133" t="e">
        <f t="shared" si="9"/>
        <v>#REF!</v>
      </c>
      <c r="O77" s="147"/>
      <c r="P77" s="150"/>
      <c r="Q77" s="147" t="e">
        <f>F77/E77*P77</f>
        <v>#REF!</v>
      </c>
      <c r="R77" s="151"/>
      <c r="S77" s="147" t="e">
        <f>#REF!</f>
        <v>#REF!</v>
      </c>
      <c r="T77" s="133" t="e">
        <f t="shared" si="10"/>
        <v>#REF!</v>
      </c>
      <c r="U77" s="170" t="s">
        <v>339</v>
      </c>
      <c r="V77" s="152"/>
      <c r="W77" s="246" t="s">
        <v>340</v>
      </c>
      <c r="X77" s="153"/>
    </row>
    <row r="78" spans="1:788 1033:1812 2057:2836 3081:3860 4105:4884 5129:5908 6153:6932 7177:7956 8201:8980 9225:10004 10249:11028 11273:12052 12297:13076 13321:14100 14345:15124 15369:16148" s="154" customFormat="1" ht="26.25" customHeight="1" x14ac:dyDescent="0.3">
      <c r="A78" s="149">
        <v>62</v>
      </c>
      <c r="B78" s="145" t="s">
        <v>341</v>
      </c>
      <c r="C78" s="204" t="s">
        <v>260</v>
      </c>
      <c r="D78" s="145" t="s">
        <v>342</v>
      </c>
      <c r="E78" s="149"/>
      <c r="F78" s="147" t="e">
        <f>#REF!</f>
        <v>#REF!</v>
      </c>
      <c r="G78" s="147"/>
      <c r="H78" s="147"/>
      <c r="I78" s="147"/>
      <c r="J78" s="147" t="e">
        <f>#REF!</f>
        <v>#REF!</v>
      </c>
      <c r="K78" s="147" t="e">
        <f>SUM(#REF!)</f>
        <v>#REF!</v>
      </c>
      <c r="L78" s="150"/>
      <c r="M78" s="147"/>
      <c r="N78" s="133" t="e">
        <f t="shared" si="9"/>
        <v>#REF!</v>
      </c>
      <c r="O78" s="147"/>
      <c r="P78" s="150"/>
      <c r="Q78" s="147"/>
      <c r="R78" s="151"/>
      <c r="S78" s="147" t="e">
        <f>#REF!</f>
        <v>#REF!</v>
      </c>
      <c r="T78" s="133" t="e">
        <f t="shared" si="10"/>
        <v>#REF!</v>
      </c>
      <c r="U78" s="149"/>
      <c r="V78" s="152"/>
      <c r="W78" s="246" t="s">
        <v>343</v>
      </c>
      <c r="X78" s="153"/>
    </row>
    <row r="79" spans="1:788 1033:1812 2057:2836 3081:3860 4105:4884 5129:5908 6153:6932 7177:7956 8201:8980 9225:10004 10249:11028 11273:12052 12297:13076 13321:14100 14345:15124 15369:16148" s="154" customFormat="1" ht="20.25" customHeight="1" x14ac:dyDescent="0.3">
      <c r="A79" s="149">
        <v>63</v>
      </c>
      <c r="B79" s="145" t="s">
        <v>344</v>
      </c>
      <c r="C79" s="149" t="s">
        <v>254</v>
      </c>
      <c r="D79" s="145" t="s">
        <v>345</v>
      </c>
      <c r="E79" s="149"/>
      <c r="F79" s="147" t="e">
        <f>#REF!</f>
        <v>#REF!</v>
      </c>
      <c r="G79" s="147"/>
      <c r="H79" s="147"/>
      <c r="I79" s="147"/>
      <c r="J79" s="147" t="e">
        <f>#REF!</f>
        <v>#REF!</v>
      </c>
      <c r="K79" s="147" t="e">
        <f>SUM(#REF!)</f>
        <v>#REF!</v>
      </c>
      <c r="L79" s="150"/>
      <c r="M79" s="147"/>
      <c r="N79" s="133" t="e">
        <f t="shared" si="9"/>
        <v>#REF!</v>
      </c>
      <c r="O79" s="147"/>
      <c r="P79" s="150"/>
      <c r="Q79" s="147"/>
      <c r="R79" s="151"/>
      <c r="S79" s="147" t="e">
        <f>#REF!</f>
        <v>#REF!</v>
      </c>
      <c r="T79" s="133" t="e">
        <f t="shared" si="10"/>
        <v>#REF!</v>
      </c>
      <c r="U79" s="149"/>
      <c r="V79" s="152"/>
      <c r="W79" s="246" t="s">
        <v>346</v>
      </c>
      <c r="X79" s="153"/>
    </row>
    <row r="80" spans="1:788 1033:1812 2057:2836 3081:3860 4105:4884 5129:5908 6153:6932 7177:7956 8201:8980 9225:10004 10249:11028 11273:12052 12297:13076 13321:14100 14345:15124 15369:16148" s="154" customFormat="1" ht="23.25" customHeight="1" x14ac:dyDescent="0.3">
      <c r="A80" s="149">
        <v>64</v>
      </c>
      <c r="B80" s="145" t="s">
        <v>347</v>
      </c>
      <c r="C80" s="149" t="s">
        <v>254</v>
      </c>
      <c r="D80" s="145" t="s">
        <v>348</v>
      </c>
      <c r="E80" s="149"/>
      <c r="F80" s="147" t="e">
        <f>#REF!</f>
        <v>#REF!</v>
      </c>
      <c r="G80" s="147"/>
      <c r="H80" s="147"/>
      <c r="I80" s="147"/>
      <c r="J80" s="147" t="e">
        <f>#REF!</f>
        <v>#REF!</v>
      </c>
      <c r="K80" s="147" t="e">
        <f>SUM(#REF!)</f>
        <v>#REF!</v>
      </c>
      <c r="L80" s="150"/>
      <c r="M80" s="147"/>
      <c r="N80" s="133" t="e">
        <f t="shared" si="9"/>
        <v>#REF!</v>
      </c>
      <c r="O80" s="147"/>
      <c r="P80" s="150"/>
      <c r="Q80" s="147"/>
      <c r="R80" s="151"/>
      <c r="S80" s="147" t="e">
        <f>#REF!</f>
        <v>#REF!</v>
      </c>
      <c r="T80" s="133" t="e">
        <f t="shared" si="10"/>
        <v>#REF!</v>
      </c>
      <c r="U80" s="149"/>
      <c r="V80" s="152"/>
      <c r="W80" s="246" t="s">
        <v>346</v>
      </c>
      <c r="X80" s="153"/>
    </row>
    <row r="81" spans="1:25" s="154" customFormat="1" ht="21.75" customHeight="1" x14ac:dyDescent="0.3">
      <c r="A81" s="149">
        <v>65</v>
      </c>
      <c r="B81" s="145" t="s">
        <v>349</v>
      </c>
      <c r="C81" s="149" t="s">
        <v>209</v>
      </c>
      <c r="D81" s="145" t="s">
        <v>350</v>
      </c>
      <c r="E81" s="149"/>
      <c r="F81" s="147" t="e">
        <f>#REF!</f>
        <v>#REF!</v>
      </c>
      <c r="G81" s="147"/>
      <c r="H81" s="147"/>
      <c r="I81" s="147"/>
      <c r="J81" s="147" t="e">
        <f>#REF!</f>
        <v>#REF!</v>
      </c>
      <c r="K81" s="147" t="e">
        <f>SUM(#REF!)</f>
        <v>#REF!</v>
      </c>
      <c r="L81" s="150"/>
      <c r="M81" s="147"/>
      <c r="N81" s="133" t="e">
        <f t="shared" si="9"/>
        <v>#REF!</v>
      </c>
      <c r="O81" s="147"/>
      <c r="P81" s="150"/>
      <c r="Q81" s="147"/>
      <c r="R81" s="151"/>
      <c r="S81" s="147"/>
      <c r="T81" s="133" t="e">
        <f t="shared" si="10"/>
        <v>#REF!</v>
      </c>
      <c r="U81" s="149"/>
      <c r="V81" s="152"/>
      <c r="W81" s="246"/>
      <c r="X81" s="153"/>
    </row>
    <row r="82" spans="1:25" s="154" customFormat="1" ht="23.25" customHeight="1" x14ac:dyDescent="0.3">
      <c r="A82" s="149">
        <v>66</v>
      </c>
      <c r="B82" s="148" t="s">
        <v>351</v>
      </c>
      <c r="C82" s="170" t="s">
        <v>254</v>
      </c>
      <c r="D82" s="145" t="s">
        <v>350</v>
      </c>
      <c r="E82" s="149"/>
      <c r="F82" s="147" t="e">
        <f>#REF!</f>
        <v>#REF!</v>
      </c>
      <c r="G82" s="147"/>
      <c r="H82" s="147"/>
      <c r="I82" s="147"/>
      <c r="J82" s="147" t="e">
        <f>#REF!</f>
        <v>#REF!</v>
      </c>
      <c r="K82" s="147" t="e">
        <f>SUM(#REF!)</f>
        <v>#REF!</v>
      </c>
      <c r="L82" s="150"/>
      <c r="M82" s="147"/>
      <c r="N82" s="133" t="e">
        <f t="shared" si="9"/>
        <v>#REF!</v>
      </c>
      <c r="O82" s="147"/>
      <c r="P82" s="150"/>
      <c r="Q82" s="147"/>
      <c r="R82" s="151"/>
      <c r="S82" s="147" t="e">
        <f>#REF!</f>
        <v>#REF!</v>
      </c>
      <c r="T82" s="133" t="e">
        <f t="shared" si="10"/>
        <v>#REF!</v>
      </c>
      <c r="U82" s="149"/>
      <c r="V82" s="152"/>
      <c r="W82" s="246"/>
      <c r="X82" s="153"/>
    </row>
    <row r="83" spans="1:25" s="154" customFormat="1" ht="23.25" customHeight="1" x14ac:dyDescent="0.3">
      <c r="A83" s="149">
        <v>67</v>
      </c>
      <c r="B83" s="148" t="s">
        <v>352</v>
      </c>
      <c r="C83" s="170" t="s">
        <v>254</v>
      </c>
      <c r="D83" s="145" t="s">
        <v>345</v>
      </c>
      <c r="E83" s="149"/>
      <c r="F83" s="147" t="e">
        <f>#REF!</f>
        <v>#REF!</v>
      </c>
      <c r="G83" s="147"/>
      <c r="H83" s="147"/>
      <c r="I83" s="147"/>
      <c r="J83" s="147" t="e">
        <f>#REF!</f>
        <v>#REF!</v>
      </c>
      <c r="K83" s="147" t="e">
        <f>SUM(#REF!)</f>
        <v>#REF!</v>
      </c>
      <c r="L83" s="150"/>
      <c r="M83" s="147"/>
      <c r="N83" s="133" t="e">
        <f t="shared" si="9"/>
        <v>#REF!</v>
      </c>
      <c r="O83" s="147"/>
      <c r="P83" s="150"/>
      <c r="Q83" s="147"/>
      <c r="R83" s="151"/>
      <c r="S83" s="147" t="e">
        <f>#REF!</f>
        <v>#REF!</v>
      </c>
      <c r="T83" s="133" t="e">
        <f t="shared" si="10"/>
        <v>#REF!</v>
      </c>
      <c r="U83" s="149"/>
      <c r="V83" s="152"/>
      <c r="W83" s="246"/>
      <c r="X83" s="153"/>
    </row>
    <row r="84" spans="1:25" s="154" customFormat="1" ht="23.25" customHeight="1" x14ac:dyDescent="0.35">
      <c r="A84" s="149">
        <v>68</v>
      </c>
      <c r="B84" s="196" t="s">
        <v>353</v>
      </c>
      <c r="C84" s="195"/>
      <c r="D84" s="196"/>
      <c r="E84" s="149"/>
      <c r="F84" s="147"/>
      <c r="G84" s="147"/>
      <c r="H84" s="147"/>
      <c r="I84" s="147"/>
      <c r="J84" s="147"/>
      <c r="K84" s="147"/>
      <c r="L84" s="150"/>
      <c r="M84" s="147"/>
      <c r="N84" s="133">
        <f t="shared" si="9"/>
        <v>0</v>
      </c>
      <c r="O84" s="147"/>
      <c r="P84" s="150"/>
      <c r="Q84" s="147"/>
      <c r="R84" s="151"/>
      <c r="S84" s="147"/>
      <c r="T84" s="133">
        <f t="shared" si="10"/>
        <v>0</v>
      </c>
      <c r="U84" s="149"/>
      <c r="V84" s="152"/>
      <c r="W84" s="196"/>
      <c r="X84" s="153"/>
    </row>
    <row r="85" spans="1:25" ht="23.25" customHeight="1" x14ac:dyDescent="0.35">
      <c r="A85" s="316" t="s">
        <v>354</v>
      </c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80"/>
      <c r="U85" s="200" t="e">
        <f>SUM(T76:T84)</f>
        <v>#REF!</v>
      </c>
    </row>
    <row r="86" spans="1:25" s="154" customFormat="1" ht="23.25" customHeight="1" x14ac:dyDescent="0.35">
      <c r="A86" s="195" t="s">
        <v>355</v>
      </c>
      <c r="B86" s="314" t="s">
        <v>356</v>
      </c>
      <c r="C86" s="279"/>
      <c r="D86" s="279"/>
      <c r="E86" s="279"/>
      <c r="F86" s="279"/>
      <c r="G86" s="279"/>
      <c r="H86" s="279"/>
      <c r="I86" s="280"/>
      <c r="J86" s="147"/>
      <c r="K86" s="147"/>
      <c r="L86" s="150"/>
      <c r="M86" s="147"/>
      <c r="N86" s="133"/>
      <c r="O86" s="177"/>
      <c r="P86" s="203"/>
      <c r="Q86" s="177"/>
      <c r="R86" s="151"/>
      <c r="S86" s="177"/>
      <c r="T86" s="133"/>
      <c r="U86" s="170"/>
      <c r="V86" s="202"/>
      <c r="W86" s="171"/>
      <c r="X86" s="153" t="e">
        <f>'[1]chi tiết lương từng người '!J102</f>
        <v>#REF!</v>
      </c>
      <c r="Y86" s="174" t="e">
        <f>T86-X86</f>
        <v>#REF!</v>
      </c>
    </row>
    <row r="87" spans="1:25" ht="23.25" customHeight="1" x14ac:dyDescent="0.3">
      <c r="A87" s="149">
        <v>69</v>
      </c>
      <c r="B87" s="178" t="s">
        <v>357</v>
      </c>
      <c r="C87" s="170"/>
      <c r="D87" s="145" t="s">
        <v>358</v>
      </c>
      <c r="E87" s="149">
        <v>26</v>
      </c>
      <c r="F87" s="177" t="e">
        <f>#REF!</f>
        <v>#REF!</v>
      </c>
      <c r="G87" s="177"/>
      <c r="H87" s="177"/>
      <c r="I87" s="177"/>
      <c r="J87" s="177"/>
      <c r="K87" s="177"/>
      <c r="L87" s="203"/>
      <c r="M87" s="177"/>
      <c r="N87" s="133" t="e">
        <f t="shared" ref="N87:N107" si="11">SUM(F87:K87)+M87</f>
        <v>#REF!</v>
      </c>
      <c r="O87" s="147"/>
      <c r="P87" s="150"/>
      <c r="Q87" s="147" t="e">
        <f>F87/E87*P87</f>
        <v>#REF!</v>
      </c>
      <c r="R87" s="151"/>
      <c r="S87" s="147" t="e">
        <f>#REF!</f>
        <v>#REF!</v>
      </c>
      <c r="T87" s="133" t="e">
        <f t="shared" ref="T87:T107" si="12">N87-O87-Q87-R87-S87</f>
        <v>#REF!</v>
      </c>
      <c r="U87" s="206"/>
      <c r="W87" s="246" t="s">
        <v>359</v>
      </c>
    </row>
    <row r="88" spans="1:25" ht="21.75" customHeight="1" x14ac:dyDescent="0.3">
      <c r="A88" s="149">
        <v>70</v>
      </c>
      <c r="B88" s="134" t="s">
        <v>360</v>
      </c>
      <c r="C88" s="165"/>
      <c r="D88" s="145" t="s">
        <v>361</v>
      </c>
      <c r="E88" s="166"/>
      <c r="F88" s="177" t="e">
        <f>#REF!</f>
        <v>#REF!</v>
      </c>
      <c r="G88" s="177"/>
      <c r="H88" s="177" t="e">
        <f>#REF!</f>
        <v>#REF!</v>
      </c>
      <c r="I88" s="177"/>
      <c r="J88" s="177"/>
      <c r="K88" s="177" t="e">
        <f>SUM(#REF!)</f>
        <v>#REF!</v>
      </c>
      <c r="L88" s="203"/>
      <c r="M88" s="177"/>
      <c r="N88" s="133" t="e">
        <f t="shared" si="11"/>
        <v>#REF!</v>
      </c>
      <c r="O88" s="147"/>
      <c r="P88" s="150"/>
      <c r="Q88" s="147"/>
      <c r="R88" s="151"/>
      <c r="S88" s="147" t="e">
        <f>#REF!</f>
        <v>#REF!</v>
      </c>
      <c r="T88" s="133" t="e">
        <f t="shared" si="12"/>
        <v>#REF!</v>
      </c>
      <c r="U88" s="170" t="s">
        <v>362</v>
      </c>
      <c r="W88" s="246"/>
    </row>
    <row r="89" spans="1:25" ht="21.75" customHeight="1" x14ac:dyDescent="0.3">
      <c r="A89" s="149">
        <v>71</v>
      </c>
      <c r="B89" s="178" t="s">
        <v>363</v>
      </c>
      <c r="C89" s="170"/>
      <c r="D89" s="145" t="s">
        <v>35</v>
      </c>
      <c r="E89" s="149"/>
      <c r="F89" s="177" t="e">
        <f>#REF!</f>
        <v>#REF!</v>
      </c>
      <c r="G89" s="177"/>
      <c r="H89" s="177" t="e">
        <f>#REF!</f>
        <v>#REF!</v>
      </c>
      <c r="I89" s="177"/>
      <c r="J89" s="177"/>
      <c r="K89" s="177" t="e">
        <f>SUM(#REF!)</f>
        <v>#REF!</v>
      </c>
      <c r="L89" s="203"/>
      <c r="M89" s="177"/>
      <c r="N89" s="133" t="e">
        <f t="shared" si="11"/>
        <v>#REF!</v>
      </c>
      <c r="O89" s="147"/>
      <c r="P89" s="150"/>
      <c r="Q89" s="147"/>
      <c r="R89" s="151"/>
      <c r="S89" s="147" t="e">
        <f>#REF!</f>
        <v>#REF!</v>
      </c>
      <c r="T89" s="133" t="e">
        <f t="shared" si="12"/>
        <v>#REF!</v>
      </c>
      <c r="U89" s="170" t="s">
        <v>364</v>
      </c>
      <c r="W89" s="246"/>
    </row>
    <row r="90" spans="1:25" s="154" customFormat="1" ht="23.25" customHeight="1" x14ac:dyDescent="0.35">
      <c r="A90" s="149">
        <v>72</v>
      </c>
      <c r="B90" s="178" t="s">
        <v>365</v>
      </c>
      <c r="C90" s="170"/>
      <c r="D90" s="145" t="s">
        <v>323</v>
      </c>
      <c r="E90" s="166"/>
      <c r="F90" s="147" t="e">
        <f>#REF!</f>
        <v>#REF!</v>
      </c>
      <c r="G90" s="147"/>
      <c r="H90" s="147" t="e">
        <f>#REF!</f>
        <v>#REF!</v>
      </c>
      <c r="I90" s="147"/>
      <c r="J90" s="147"/>
      <c r="K90" s="147" t="e">
        <f>SUM(#REF!)</f>
        <v>#REF!</v>
      </c>
      <c r="L90" s="150"/>
      <c r="M90" s="147"/>
      <c r="N90" s="133" t="e">
        <f t="shared" si="11"/>
        <v>#REF!</v>
      </c>
      <c r="O90" s="147"/>
      <c r="P90" s="150"/>
      <c r="Q90" s="147"/>
      <c r="R90" s="151"/>
      <c r="S90" s="147" t="e">
        <f>#REF!</f>
        <v>#REF!</v>
      </c>
      <c r="T90" s="133" t="e">
        <f t="shared" si="12"/>
        <v>#REF!</v>
      </c>
      <c r="U90" s="170" t="s">
        <v>366</v>
      </c>
      <c r="V90" s="152"/>
      <c r="W90" s="196"/>
      <c r="X90" s="153"/>
    </row>
    <row r="91" spans="1:25" s="154" customFormat="1" ht="23.25" customHeight="1" x14ac:dyDescent="0.35">
      <c r="A91" s="149">
        <v>73</v>
      </c>
      <c r="B91" s="134" t="s">
        <v>367</v>
      </c>
      <c r="C91" s="165"/>
      <c r="D91" s="145" t="s">
        <v>368</v>
      </c>
      <c r="E91" s="166"/>
      <c r="F91" s="147" t="e">
        <f>#REF!</f>
        <v>#REF!</v>
      </c>
      <c r="G91" s="147"/>
      <c r="H91" s="147" t="e">
        <f>#REF!</f>
        <v>#REF!</v>
      </c>
      <c r="I91" s="147"/>
      <c r="J91" s="147"/>
      <c r="K91" s="147" t="e">
        <f>SUM(#REF!)</f>
        <v>#REF!</v>
      </c>
      <c r="L91" s="150"/>
      <c r="M91" s="147"/>
      <c r="N91" s="133" t="e">
        <f t="shared" si="11"/>
        <v>#REF!</v>
      </c>
      <c r="O91" s="147"/>
      <c r="P91" s="150"/>
      <c r="Q91" s="147"/>
      <c r="R91" s="151"/>
      <c r="S91" s="147" t="e">
        <f>#REF!</f>
        <v>#REF!</v>
      </c>
      <c r="T91" s="133" t="e">
        <f t="shared" si="12"/>
        <v>#REF!</v>
      </c>
      <c r="U91" s="170" t="s">
        <v>369</v>
      </c>
      <c r="V91" s="152"/>
      <c r="W91" s="196"/>
      <c r="X91" s="153"/>
    </row>
    <row r="92" spans="1:25" s="154" customFormat="1" ht="23.25" customHeight="1" x14ac:dyDescent="0.35">
      <c r="A92" s="149">
        <v>74</v>
      </c>
      <c r="B92" s="178" t="s">
        <v>370</v>
      </c>
      <c r="C92" s="170"/>
      <c r="D92" s="145" t="s">
        <v>315</v>
      </c>
      <c r="E92" s="166"/>
      <c r="F92" s="147" t="e">
        <f>#REF!</f>
        <v>#REF!</v>
      </c>
      <c r="G92" s="147"/>
      <c r="H92" s="147" t="e">
        <f>#REF!</f>
        <v>#REF!</v>
      </c>
      <c r="I92" s="147"/>
      <c r="J92" s="147"/>
      <c r="K92" s="147" t="e">
        <f>SUM(#REF!)</f>
        <v>#REF!</v>
      </c>
      <c r="L92" s="150"/>
      <c r="M92" s="147"/>
      <c r="N92" s="133" t="e">
        <f t="shared" si="11"/>
        <v>#REF!</v>
      </c>
      <c r="O92" s="147"/>
      <c r="P92" s="150"/>
      <c r="Q92" s="147"/>
      <c r="R92" s="151"/>
      <c r="S92" s="147" t="e">
        <f>#REF!</f>
        <v>#REF!</v>
      </c>
      <c r="T92" s="133" t="e">
        <f t="shared" si="12"/>
        <v>#REF!</v>
      </c>
      <c r="U92" s="170" t="s">
        <v>371</v>
      </c>
      <c r="V92" s="152"/>
      <c r="W92" s="196"/>
      <c r="X92" s="153"/>
    </row>
    <row r="93" spans="1:25" s="154" customFormat="1" ht="23.25" customHeight="1" x14ac:dyDescent="0.35">
      <c r="A93" s="149">
        <v>75</v>
      </c>
      <c r="B93" s="134" t="s">
        <v>372</v>
      </c>
      <c r="C93" s="165"/>
      <c r="D93" s="145" t="s">
        <v>35</v>
      </c>
      <c r="E93" s="149"/>
      <c r="F93" s="147" t="e">
        <f>#REF!</f>
        <v>#REF!</v>
      </c>
      <c r="G93" s="147"/>
      <c r="H93" s="147" t="e">
        <f>#REF!</f>
        <v>#REF!</v>
      </c>
      <c r="I93" s="147"/>
      <c r="J93" s="147"/>
      <c r="K93" s="147" t="e">
        <f>SUM(#REF!)</f>
        <v>#REF!</v>
      </c>
      <c r="L93" s="150"/>
      <c r="M93" s="147"/>
      <c r="N93" s="133" t="e">
        <f t="shared" si="11"/>
        <v>#REF!</v>
      </c>
      <c r="O93" s="147"/>
      <c r="P93" s="150"/>
      <c r="Q93" s="147"/>
      <c r="R93" s="151"/>
      <c r="S93" s="147" t="e">
        <f>#REF!</f>
        <v>#REF!</v>
      </c>
      <c r="T93" s="133" t="e">
        <f t="shared" si="12"/>
        <v>#REF!</v>
      </c>
      <c r="U93" s="170" t="s">
        <v>373</v>
      </c>
      <c r="V93" s="152"/>
      <c r="W93" s="196"/>
      <c r="X93" s="153"/>
    </row>
    <row r="94" spans="1:25" s="154" customFormat="1" ht="24" customHeight="1" x14ac:dyDescent="0.35">
      <c r="A94" s="149">
        <v>76</v>
      </c>
      <c r="B94" s="178" t="s">
        <v>374</v>
      </c>
      <c r="C94" s="170"/>
      <c r="D94" s="148" t="s">
        <v>375</v>
      </c>
      <c r="E94" s="166"/>
      <c r="F94" s="147" t="e">
        <f>#REF!</f>
        <v>#REF!</v>
      </c>
      <c r="G94" s="147"/>
      <c r="H94" s="147"/>
      <c r="I94" s="147"/>
      <c r="J94" s="147"/>
      <c r="K94" s="147" t="e">
        <f>SUM(#REF!)</f>
        <v>#REF!</v>
      </c>
      <c r="L94" s="150"/>
      <c r="M94" s="147"/>
      <c r="N94" s="133" t="e">
        <f t="shared" si="11"/>
        <v>#REF!</v>
      </c>
      <c r="O94" s="147"/>
      <c r="P94" s="150"/>
      <c r="Q94" s="147"/>
      <c r="R94" s="151"/>
      <c r="S94" s="147" t="e">
        <f>#REF!</f>
        <v>#REF!</v>
      </c>
      <c r="T94" s="133" t="e">
        <f t="shared" si="12"/>
        <v>#REF!</v>
      </c>
      <c r="U94" s="149"/>
      <c r="V94" s="152"/>
      <c r="W94" s="196"/>
      <c r="X94" s="153"/>
    </row>
    <row r="95" spans="1:25" s="154" customFormat="1" ht="23.25" customHeight="1" x14ac:dyDescent="0.35">
      <c r="A95" s="149">
        <v>77</v>
      </c>
      <c r="B95" s="135" t="s">
        <v>376</v>
      </c>
      <c r="C95" s="166"/>
      <c r="D95" s="148" t="s">
        <v>377</v>
      </c>
      <c r="E95" s="166"/>
      <c r="F95" s="147" t="e">
        <f>#REF!</f>
        <v>#REF!</v>
      </c>
      <c r="G95" s="147"/>
      <c r="H95" s="147"/>
      <c r="I95" s="147"/>
      <c r="J95" s="147"/>
      <c r="K95" s="147" t="e">
        <f>SUM(#REF!)</f>
        <v>#REF!</v>
      </c>
      <c r="L95" s="150"/>
      <c r="M95" s="147"/>
      <c r="N95" s="133" t="e">
        <f t="shared" si="11"/>
        <v>#REF!</v>
      </c>
      <c r="O95" s="147"/>
      <c r="P95" s="150"/>
      <c r="Q95" s="147"/>
      <c r="R95" s="151"/>
      <c r="S95" s="147" t="e">
        <f>#REF!</f>
        <v>#REF!</v>
      </c>
      <c r="T95" s="133" t="e">
        <f t="shared" si="12"/>
        <v>#REF!</v>
      </c>
      <c r="U95" s="149"/>
      <c r="V95" s="152"/>
      <c r="W95" s="196"/>
      <c r="X95" s="153"/>
    </row>
    <row r="96" spans="1:25" s="154" customFormat="1" ht="23.25" customHeight="1" x14ac:dyDescent="0.35">
      <c r="A96" s="149">
        <v>78</v>
      </c>
      <c r="B96" s="178" t="s">
        <v>378</v>
      </c>
      <c r="C96" s="170"/>
      <c r="D96" s="145" t="s">
        <v>377</v>
      </c>
      <c r="E96" s="166"/>
      <c r="F96" s="147" t="e">
        <f>#REF!</f>
        <v>#REF!</v>
      </c>
      <c r="G96" s="147"/>
      <c r="H96" s="147"/>
      <c r="I96" s="147"/>
      <c r="J96" s="147"/>
      <c r="K96" s="147" t="e">
        <f>SUM(#REF!)</f>
        <v>#REF!</v>
      </c>
      <c r="L96" s="150"/>
      <c r="M96" s="147"/>
      <c r="N96" s="133" t="e">
        <f t="shared" si="11"/>
        <v>#REF!</v>
      </c>
      <c r="O96" s="147"/>
      <c r="P96" s="150"/>
      <c r="Q96" s="147"/>
      <c r="R96" s="151"/>
      <c r="S96" s="147" t="e">
        <f>#REF!</f>
        <v>#REF!</v>
      </c>
      <c r="T96" s="133" t="e">
        <f t="shared" si="12"/>
        <v>#REF!</v>
      </c>
      <c r="U96" s="149"/>
      <c r="V96" s="152"/>
      <c r="W96" s="196"/>
      <c r="X96" s="153"/>
    </row>
    <row r="97" spans="1:25" s="154" customFormat="1" ht="23.25" customHeight="1" x14ac:dyDescent="0.35">
      <c r="A97" s="149">
        <v>79</v>
      </c>
      <c r="B97" s="134" t="s">
        <v>379</v>
      </c>
      <c r="C97" s="165"/>
      <c r="D97" s="148" t="s">
        <v>377</v>
      </c>
      <c r="E97" s="166"/>
      <c r="F97" s="147" t="e">
        <f>#REF!</f>
        <v>#REF!</v>
      </c>
      <c r="G97" s="147"/>
      <c r="H97" s="147"/>
      <c r="I97" s="147"/>
      <c r="J97" s="147"/>
      <c r="K97" s="147" t="e">
        <f>SUM(#REF!)</f>
        <v>#REF!</v>
      </c>
      <c r="L97" s="150"/>
      <c r="M97" s="147"/>
      <c r="N97" s="133" t="e">
        <f t="shared" si="11"/>
        <v>#REF!</v>
      </c>
      <c r="O97" s="147"/>
      <c r="P97" s="150"/>
      <c r="Q97" s="147"/>
      <c r="R97" s="151"/>
      <c r="S97" s="147" t="e">
        <f>#REF!</f>
        <v>#REF!</v>
      </c>
      <c r="T97" s="133" t="e">
        <f t="shared" si="12"/>
        <v>#REF!</v>
      </c>
      <c r="U97" s="149"/>
      <c r="V97" s="152"/>
      <c r="W97" s="196"/>
      <c r="X97" s="153"/>
    </row>
    <row r="98" spans="1:25" s="154" customFormat="1" ht="23.25" customHeight="1" x14ac:dyDescent="0.35">
      <c r="A98" s="149">
        <v>80</v>
      </c>
      <c r="B98" s="178" t="s">
        <v>380</v>
      </c>
      <c r="C98" s="170"/>
      <c r="D98" s="145" t="s">
        <v>381</v>
      </c>
      <c r="E98" s="166"/>
      <c r="F98" s="147" t="e">
        <f>#REF!</f>
        <v>#REF!</v>
      </c>
      <c r="G98" s="147"/>
      <c r="H98" s="147"/>
      <c r="I98" s="147"/>
      <c r="J98" s="147"/>
      <c r="K98" s="147" t="e">
        <f>SUM(#REF!)</f>
        <v>#REF!</v>
      </c>
      <c r="L98" s="150"/>
      <c r="M98" s="147"/>
      <c r="N98" s="133" t="e">
        <f t="shared" si="11"/>
        <v>#REF!</v>
      </c>
      <c r="O98" s="147"/>
      <c r="P98" s="150"/>
      <c r="Q98" s="147"/>
      <c r="R98" s="151"/>
      <c r="S98" s="147" t="e">
        <f>#REF!</f>
        <v>#REF!</v>
      </c>
      <c r="T98" s="133" t="e">
        <f t="shared" si="12"/>
        <v>#REF!</v>
      </c>
      <c r="U98" s="149"/>
      <c r="V98" s="152"/>
      <c r="W98" s="196"/>
      <c r="X98" s="153"/>
    </row>
    <row r="99" spans="1:25" s="154" customFormat="1" ht="23.25" customHeight="1" x14ac:dyDescent="0.35">
      <c r="A99" s="149">
        <v>81</v>
      </c>
      <c r="B99" s="178" t="s">
        <v>382</v>
      </c>
      <c r="C99" s="170"/>
      <c r="D99" s="145" t="s">
        <v>383</v>
      </c>
      <c r="E99" s="166"/>
      <c r="F99" s="147" t="e">
        <f>#REF!</f>
        <v>#REF!</v>
      </c>
      <c r="G99" s="147"/>
      <c r="H99" s="147"/>
      <c r="I99" s="147"/>
      <c r="J99" s="147"/>
      <c r="K99" s="147"/>
      <c r="L99" s="150"/>
      <c r="M99" s="147"/>
      <c r="N99" s="133" t="e">
        <f t="shared" si="11"/>
        <v>#REF!</v>
      </c>
      <c r="O99" s="147"/>
      <c r="P99" s="150"/>
      <c r="Q99" s="147"/>
      <c r="R99" s="151"/>
      <c r="S99" s="147" t="e">
        <f>#REF!</f>
        <v>#REF!</v>
      </c>
      <c r="T99" s="133" t="e">
        <f t="shared" si="12"/>
        <v>#REF!</v>
      </c>
      <c r="U99" s="149"/>
      <c r="V99" s="152"/>
      <c r="W99" s="196"/>
      <c r="X99" s="153"/>
    </row>
    <row r="100" spans="1:25" s="154" customFormat="1" ht="23.25" customHeight="1" x14ac:dyDescent="0.35">
      <c r="A100" s="149">
        <v>82</v>
      </c>
      <c r="B100" s="178" t="s">
        <v>384</v>
      </c>
      <c r="C100" s="170"/>
      <c r="D100" s="145" t="s">
        <v>383</v>
      </c>
      <c r="E100" s="166"/>
      <c r="F100" s="147" t="e">
        <f>#REF!</f>
        <v>#REF!</v>
      </c>
      <c r="G100" s="147"/>
      <c r="H100" s="147"/>
      <c r="I100" s="147"/>
      <c r="J100" s="147"/>
      <c r="K100" s="147"/>
      <c r="L100" s="150"/>
      <c r="M100" s="147"/>
      <c r="N100" s="133" t="e">
        <f t="shared" si="11"/>
        <v>#REF!</v>
      </c>
      <c r="O100" s="147"/>
      <c r="P100" s="150"/>
      <c r="Q100" s="147"/>
      <c r="R100" s="151"/>
      <c r="S100" s="147" t="e">
        <f>#REF!</f>
        <v>#REF!</v>
      </c>
      <c r="T100" s="133" t="e">
        <f t="shared" si="12"/>
        <v>#REF!</v>
      </c>
      <c r="U100" s="149"/>
      <c r="V100" s="152"/>
      <c r="W100" s="196"/>
      <c r="X100" s="153"/>
    </row>
    <row r="101" spans="1:25" s="154" customFormat="1" ht="23.25" customHeight="1" x14ac:dyDescent="0.35">
      <c r="A101" s="149">
        <v>83</v>
      </c>
      <c r="B101" s="178" t="s">
        <v>385</v>
      </c>
      <c r="C101" s="170"/>
      <c r="D101" s="145" t="s">
        <v>386</v>
      </c>
      <c r="E101" s="166"/>
      <c r="F101" s="147" t="e">
        <f>#REF!</f>
        <v>#REF!</v>
      </c>
      <c r="G101" s="147"/>
      <c r="H101" s="147"/>
      <c r="I101" s="147"/>
      <c r="J101" s="147"/>
      <c r="K101" s="147"/>
      <c r="L101" s="150"/>
      <c r="M101" s="147"/>
      <c r="N101" s="133" t="e">
        <f t="shared" si="11"/>
        <v>#REF!</v>
      </c>
      <c r="O101" s="147"/>
      <c r="P101" s="150"/>
      <c r="Q101" s="147"/>
      <c r="R101" s="151"/>
      <c r="S101" s="147" t="e">
        <f>#REF!</f>
        <v>#REF!</v>
      </c>
      <c r="T101" s="133" t="e">
        <f t="shared" si="12"/>
        <v>#REF!</v>
      </c>
      <c r="U101" s="149"/>
      <c r="V101" s="152"/>
      <c r="W101" s="196"/>
      <c r="X101" s="153"/>
    </row>
    <row r="102" spans="1:25" s="154" customFormat="1" ht="23.25" customHeight="1" x14ac:dyDescent="0.35">
      <c r="A102" s="149">
        <v>84</v>
      </c>
      <c r="B102" s="136" t="s">
        <v>387</v>
      </c>
      <c r="C102" s="165"/>
      <c r="D102" s="145" t="s">
        <v>388</v>
      </c>
      <c r="E102" s="166"/>
      <c r="F102" s="147" t="e">
        <f>#REF!</f>
        <v>#REF!</v>
      </c>
      <c r="G102" s="147"/>
      <c r="H102" s="147"/>
      <c r="I102" s="147"/>
      <c r="J102" s="147"/>
      <c r="K102" s="147" t="e">
        <f>SUM(#REF!)</f>
        <v>#REF!</v>
      </c>
      <c r="L102" s="150"/>
      <c r="M102" s="147"/>
      <c r="N102" s="133" t="e">
        <f t="shared" si="11"/>
        <v>#REF!</v>
      </c>
      <c r="O102" s="147"/>
      <c r="P102" s="150"/>
      <c r="Q102" s="147"/>
      <c r="R102" s="151"/>
      <c r="S102" s="147" t="e">
        <f>#REF!</f>
        <v>#REF!</v>
      </c>
      <c r="T102" s="133" t="e">
        <f t="shared" si="12"/>
        <v>#REF!</v>
      </c>
      <c r="U102" s="149"/>
      <c r="V102" s="152"/>
      <c r="W102" s="196"/>
      <c r="X102" s="153"/>
    </row>
    <row r="103" spans="1:25" s="154" customFormat="1" ht="23.25" customHeight="1" x14ac:dyDescent="0.35">
      <c r="A103" s="149">
        <v>85</v>
      </c>
      <c r="B103" s="178" t="s">
        <v>389</v>
      </c>
      <c r="C103" s="170"/>
      <c r="D103" s="145" t="s">
        <v>35</v>
      </c>
      <c r="E103" s="149"/>
      <c r="F103" s="147" t="e">
        <f>#REF!</f>
        <v>#REF!</v>
      </c>
      <c r="G103" s="147"/>
      <c r="H103" s="147"/>
      <c r="I103" s="147"/>
      <c r="J103" s="147"/>
      <c r="K103" s="147" t="e">
        <f>SUM(#REF!)</f>
        <v>#REF!</v>
      </c>
      <c r="L103" s="150"/>
      <c r="M103" s="147"/>
      <c r="N103" s="133" t="e">
        <f t="shared" si="11"/>
        <v>#REF!</v>
      </c>
      <c r="O103" s="147"/>
      <c r="P103" s="150"/>
      <c r="Q103" s="147"/>
      <c r="R103" s="151"/>
      <c r="S103" s="147" t="e">
        <f>#REF!</f>
        <v>#REF!</v>
      </c>
      <c r="T103" s="133" t="e">
        <f t="shared" si="12"/>
        <v>#REF!</v>
      </c>
      <c r="U103" s="149"/>
      <c r="V103" s="152"/>
      <c r="W103" s="247"/>
      <c r="X103" s="153"/>
    </row>
    <row r="104" spans="1:25" s="154" customFormat="1" ht="21.75" customHeight="1" x14ac:dyDescent="0.35">
      <c r="A104" s="149">
        <v>86</v>
      </c>
      <c r="B104" s="178" t="s">
        <v>390</v>
      </c>
      <c r="C104" s="170"/>
      <c r="D104" s="145" t="s">
        <v>377</v>
      </c>
      <c r="E104" s="149"/>
      <c r="F104" s="147" t="e">
        <f>#REF!</f>
        <v>#REF!</v>
      </c>
      <c r="G104" s="147"/>
      <c r="H104" s="147"/>
      <c r="I104" s="147"/>
      <c r="J104" s="147"/>
      <c r="K104" s="147"/>
      <c r="L104" s="150"/>
      <c r="M104" s="147"/>
      <c r="N104" s="133" t="e">
        <f t="shared" si="11"/>
        <v>#REF!</v>
      </c>
      <c r="O104" s="147"/>
      <c r="P104" s="150"/>
      <c r="Q104" s="147"/>
      <c r="R104" s="151"/>
      <c r="S104" s="147" t="e">
        <f>#REF!</f>
        <v>#REF!</v>
      </c>
      <c r="T104" s="133" t="e">
        <f t="shared" si="12"/>
        <v>#REF!</v>
      </c>
      <c r="U104" s="149"/>
      <c r="V104" s="152"/>
      <c r="W104" s="247"/>
      <c r="X104" s="153"/>
    </row>
    <row r="105" spans="1:25" s="154" customFormat="1" ht="26.25" customHeight="1" x14ac:dyDescent="0.35">
      <c r="A105" s="149">
        <v>87</v>
      </c>
      <c r="B105" s="178" t="s">
        <v>391</v>
      </c>
      <c r="C105" s="170"/>
      <c r="D105" s="145" t="s">
        <v>35</v>
      </c>
      <c r="E105" s="149"/>
      <c r="F105" s="147" t="e">
        <f>#REF!</f>
        <v>#REF!</v>
      </c>
      <c r="G105" s="147"/>
      <c r="H105" s="147"/>
      <c r="I105" s="147"/>
      <c r="J105" s="147"/>
      <c r="K105" s="147" t="e">
        <f>SUM(#REF!)</f>
        <v>#REF!</v>
      </c>
      <c r="L105" s="150"/>
      <c r="M105" s="147"/>
      <c r="N105" s="133" t="e">
        <f t="shared" si="11"/>
        <v>#REF!</v>
      </c>
      <c r="O105" s="147"/>
      <c r="P105" s="150"/>
      <c r="Q105" s="147"/>
      <c r="R105" s="151"/>
      <c r="S105" s="147" t="e">
        <f>#REF!</f>
        <v>#REF!</v>
      </c>
      <c r="T105" s="133" t="e">
        <f t="shared" si="12"/>
        <v>#REF!</v>
      </c>
      <c r="U105" s="149"/>
      <c r="V105" s="152"/>
      <c r="W105" s="247"/>
      <c r="X105" s="153"/>
    </row>
    <row r="106" spans="1:25" s="154" customFormat="1" ht="23.25" customHeight="1" x14ac:dyDescent="0.35">
      <c r="A106" s="149">
        <v>88</v>
      </c>
      <c r="B106" s="178" t="s">
        <v>392</v>
      </c>
      <c r="C106" s="170"/>
      <c r="D106" s="145" t="s">
        <v>35</v>
      </c>
      <c r="E106" s="149"/>
      <c r="F106" s="147" t="e">
        <f>#REF!</f>
        <v>#REF!</v>
      </c>
      <c r="G106" s="147"/>
      <c r="H106" s="147"/>
      <c r="I106" s="147"/>
      <c r="J106" s="147"/>
      <c r="K106" s="147" t="e">
        <f>SUM(#REF!)</f>
        <v>#REF!</v>
      </c>
      <c r="L106" s="150"/>
      <c r="M106" s="147"/>
      <c r="N106" s="133" t="e">
        <f t="shared" si="11"/>
        <v>#REF!</v>
      </c>
      <c r="O106" s="147"/>
      <c r="P106" s="150"/>
      <c r="Q106" s="147"/>
      <c r="R106" s="151"/>
      <c r="S106" s="147" t="e">
        <f>#REF!</f>
        <v>#REF!</v>
      </c>
      <c r="T106" s="133" t="e">
        <f t="shared" si="12"/>
        <v>#REF!</v>
      </c>
      <c r="U106" s="149"/>
      <c r="V106" s="152"/>
      <c r="W106" s="247"/>
      <c r="X106" s="153"/>
    </row>
    <row r="107" spans="1:25" s="154" customFormat="1" ht="23.25" customHeight="1" x14ac:dyDescent="0.35">
      <c r="A107" s="149">
        <v>89</v>
      </c>
      <c r="B107" s="178" t="s">
        <v>393</v>
      </c>
      <c r="C107" s="170"/>
      <c r="D107" s="145" t="s">
        <v>315</v>
      </c>
      <c r="E107" s="149"/>
      <c r="F107" s="147" t="e">
        <f>#REF!</f>
        <v>#REF!</v>
      </c>
      <c r="G107" s="147"/>
      <c r="H107" s="147"/>
      <c r="I107" s="147"/>
      <c r="J107" s="147"/>
      <c r="K107" s="147" t="e">
        <f>SUM(#REF!)</f>
        <v>#REF!</v>
      </c>
      <c r="L107" s="150"/>
      <c r="M107" s="147"/>
      <c r="N107" s="133" t="e">
        <f t="shared" si="11"/>
        <v>#REF!</v>
      </c>
      <c r="O107" s="147"/>
      <c r="P107" s="150"/>
      <c r="Q107" s="147"/>
      <c r="R107" s="151"/>
      <c r="S107" s="147" t="e">
        <f>#REF!</f>
        <v>#REF!</v>
      </c>
      <c r="T107" s="133" t="e">
        <f t="shared" si="12"/>
        <v>#REF!</v>
      </c>
      <c r="U107" s="149"/>
      <c r="V107" s="152"/>
      <c r="W107" s="247"/>
      <c r="X107" s="153"/>
    </row>
    <row r="108" spans="1:25" s="154" customFormat="1" ht="23.25" customHeight="1" x14ac:dyDescent="0.35">
      <c r="A108" s="149">
        <v>90</v>
      </c>
      <c r="B108" s="196" t="s">
        <v>394</v>
      </c>
      <c r="C108" s="195"/>
      <c r="D108" s="196"/>
      <c r="E108" s="149"/>
      <c r="F108" s="147"/>
      <c r="G108" s="147"/>
      <c r="H108" s="147"/>
      <c r="I108" s="147"/>
      <c r="J108" s="147"/>
      <c r="K108" s="147"/>
      <c r="L108" s="150"/>
      <c r="M108" s="147"/>
      <c r="N108" s="133"/>
      <c r="O108" s="147"/>
      <c r="P108" s="150"/>
      <c r="Q108" s="147"/>
      <c r="R108" s="151"/>
      <c r="S108" s="147"/>
      <c r="T108" s="147"/>
      <c r="U108" s="149"/>
      <c r="V108" s="152"/>
      <c r="W108" s="196"/>
      <c r="X108" s="153"/>
    </row>
    <row r="109" spans="1:25" ht="23.25" customHeight="1" x14ac:dyDescent="0.35">
      <c r="A109" s="316" t="s">
        <v>395</v>
      </c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80"/>
      <c r="U109" s="200" t="e">
        <f>SUM(T87:T108)</f>
        <v>#REF!</v>
      </c>
    </row>
    <row r="110" spans="1:25" s="154" customFormat="1" ht="23.25" customHeight="1" x14ac:dyDescent="0.35">
      <c r="A110" s="195" t="s">
        <v>396</v>
      </c>
      <c r="B110" s="314" t="s">
        <v>397</v>
      </c>
      <c r="C110" s="279"/>
      <c r="D110" s="279"/>
      <c r="E110" s="279"/>
      <c r="F110" s="279"/>
      <c r="G110" s="279"/>
      <c r="H110" s="279"/>
      <c r="I110" s="280"/>
      <c r="J110" s="147"/>
      <c r="K110" s="147"/>
      <c r="L110" s="150"/>
      <c r="M110" s="147"/>
      <c r="N110" s="133"/>
      <c r="O110" s="177"/>
      <c r="P110" s="203"/>
      <c r="Q110" s="177"/>
      <c r="R110" s="151"/>
      <c r="S110" s="177"/>
      <c r="T110" s="133"/>
      <c r="U110" s="170"/>
      <c r="V110" s="202"/>
      <c r="W110" s="171"/>
      <c r="X110" s="153" t="e">
        <f>'[1]chi tiết lương từng người '!J125</f>
        <v>#REF!</v>
      </c>
      <c r="Y110" s="174" t="e">
        <f>T110-X110</f>
        <v>#REF!</v>
      </c>
    </row>
    <row r="111" spans="1:25" ht="23.25" customHeight="1" x14ac:dyDescent="0.3">
      <c r="A111" s="149">
        <v>91</v>
      </c>
      <c r="B111" s="178" t="s">
        <v>398</v>
      </c>
      <c r="C111" s="170"/>
      <c r="D111" s="145" t="s">
        <v>399</v>
      </c>
      <c r="E111" s="149"/>
      <c r="F111" s="177" t="e">
        <f>#REF!</f>
        <v>#REF!</v>
      </c>
      <c r="G111" s="177"/>
      <c r="H111" s="177"/>
      <c r="I111" s="177"/>
      <c r="J111" s="177"/>
      <c r="K111" s="177"/>
      <c r="L111" s="203"/>
      <c r="M111" s="177"/>
      <c r="N111" s="133" t="e">
        <f>SUM(F111:K111)+M111</f>
        <v>#REF!</v>
      </c>
      <c r="O111" s="147"/>
      <c r="P111" s="150"/>
      <c r="Q111" s="147"/>
      <c r="R111" s="151"/>
      <c r="S111" s="147"/>
      <c r="T111" s="133" t="e">
        <f>N111-O111-Q111-R111-S111</f>
        <v>#REF!</v>
      </c>
      <c r="U111" s="206"/>
      <c r="W111" s="246" t="s">
        <v>359</v>
      </c>
    </row>
    <row r="112" spans="1:25" ht="21.75" customHeight="1" x14ac:dyDescent="0.3">
      <c r="A112" s="149">
        <v>92</v>
      </c>
      <c r="B112" s="134" t="s">
        <v>400</v>
      </c>
      <c r="C112" s="165"/>
      <c r="D112" s="145" t="s">
        <v>315</v>
      </c>
      <c r="E112" s="166"/>
      <c r="F112" s="177" t="e">
        <f>#REF!</f>
        <v>#REF!</v>
      </c>
      <c r="G112" s="177"/>
      <c r="H112" s="177"/>
      <c r="I112" s="177"/>
      <c r="J112" s="177"/>
      <c r="K112" s="177" t="e">
        <f>SUM(#REF!)</f>
        <v>#REF!</v>
      </c>
      <c r="L112" s="203"/>
      <c r="M112" s="177"/>
      <c r="N112" s="133" t="e">
        <f>SUM(F112:K112)+M112</f>
        <v>#REF!</v>
      </c>
      <c r="O112" s="147"/>
      <c r="P112" s="150"/>
      <c r="Q112" s="147"/>
      <c r="R112" s="151"/>
      <c r="S112" s="147"/>
      <c r="T112" s="133" t="e">
        <f>N112-O112-Q112-R112-S112</f>
        <v>#REF!</v>
      </c>
      <c r="U112" s="170" t="s">
        <v>362</v>
      </c>
      <c r="W112" s="246"/>
    </row>
    <row r="113" spans="1:47" ht="21.75" customHeight="1" x14ac:dyDescent="0.3">
      <c r="A113" s="149">
        <v>93</v>
      </c>
      <c r="B113" s="134" t="s">
        <v>401</v>
      </c>
      <c r="C113" s="165"/>
      <c r="D113" s="145" t="s">
        <v>35</v>
      </c>
      <c r="E113" s="166"/>
      <c r="F113" s="177" t="e">
        <f>#REF!</f>
        <v>#REF!</v>
      </c>
      <c r="G113" s="177"/>
      <c r="H113" s="177"/>
      <c r="I113" s="177"/>
      <c r="J113" s="177"/>
      <c r="K113" s="177"/>
      <c r="L113" s="203"/>
      <c r="M113" s="177"/>
      <c r="N113" s="133" t="e">
        <f>SUM(F113:K113)+M113</f>
        <v>#REF!</v>
      </c>
      <c r="O113" s="147"/>
      <c r="P113" s="150"/>
      <c r="Q113" s="147"/>
      <c r="R113" s="151"/>
      <c r="S113" s="147"/>
      <c r="T113" s="133" t="e">
        <f>N113-O113-Q113-R113-S113</f>
        <v>#REF!</v>
      </c>
      <c r="U113" s="170"/>
      <c r="W113" s="248"/>
    </row>
    <row r="114" spans="1:47" ht="21.75" customHeight="1" x14ac:dyDescent="0.3">
      <c r="A114" s="149">
        <v>94</v>
      </c>
      <c r="B114" s="134" t="s">
        <v>402</v>
      </c>
      <c r="C114" s="165"/>
      <c r="D114" s="145" t="s">
        <v>403</v>
      </c>
      <c r="E114" s="166"/>
      <c r="F114" s="177" t="e">
        <f>#REF!</f>
        <v>#REF!</v>
      </c>
      <c r="G114" s="177"/>
      <c r="H114" s="177"/>
      <c r="I114" s="177"/>
      <c r="J114" s="177"/>
      <c r="K114" s="177"/>
      <c r="L114" s="203"/>
      <c r="M114" s="177"/>
      <c r="N114" s="133" t="e">
        <f>SUM(F114:K114)+M114</f>
        <v>#REF!</v>
      </c>
      <c r="O114" s="147"/>
      <c r="P114" s="150"/>
      <c r="Q114" s="147"/>
      <c r="R114" s="151"/>
      <c r="S114" s="147"/>
      <c r="T114" s="133" t="e">
        <f>N114-O114-Q114-R114-S114</f>
        <v>#REF!</v>
      </c>
      <c r="U114" s="170"/>
      <c r="W114" s="248"/>
    </row>
    <row r="115" spans="1:47" ht="21.75" customHeight="1" x14ac:dyDescent="0.3">
      <c r="A115" s="149">
        <v>95</v>
      </c>
      <c r="B115" s="134" t="s">
        <v>404</v>
      </c>
      <c r="C115" s="165"/>
      <c r="D115" s="145" t="s">
        <v>35</v>
      </c>
      <c r="E115" s="166"/>
      <c r="F115" s="177" t="e">
        <f>#REF!</f>
        <v>#REF!</v>
      </c>
      <c r="G115" s="177"/>
      <c r="H115" s="177"/>
      <c r="I115" s="177"/>
      <c r="J115" s="177"/>
      <c r="K115" s="177"/>
      <c r="L115" s="203"/>
      <c r="M115" s="177"/>
      <c r="N115" s="133" t="e">
        <f>SUM(F115:K115)+M115</f>
        <v>#REF!</v>
      </c>
      <c r="O115" s="147"/>
      <c r="P115" s="150"/>
      <c r="Q115" s="147"/>
      <c r="R115" s="151"/>
      <c r="S115" s="147"/>
      <c r="T115" s="133" t="e">
        <f>N115-O115-Q115-R115-S115</f>
        <v>#REF!</v>
      </c>
      <c r="U115" s="170"/>
      <c r="W115" s="248"/>
    </row>
    <row r="116" spans="1:47" ht="23.25" customHeight="1" x14ac:dyDescent="0.35">
      <c r="A116" s="316" t="s">
        <v>405</v>
      </c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80"/>
      <c r="U116" s="200" t="e">
        <f>SUM(T110:T115)</f>
        <v>#REF!</v>
      </c>
    </row>
    <row r="117" spans="1:47" s="211" customFormat="1" ht="36.75" customHeight="1" x14ac:dyDescent="0.35">
      <c r="A117" s="316" t="s">
        <v>406</v>
      </c>
      <c r="B117" s="279"/>
      <c r="C117" s="279"/>
      <c r="D117" s="279"/>
      <c r="E117" s="280"/>
      <c r="F117" s="207" t="e">
        <f t="shared" ref="F117:K117" si="13">SUM(F9:F115)</f>
        <v>#REF!</v>
      </c>
      <c r="G117" s="207" t="e">
        <f t="shared" si="13"/>
        <v>#REF!</v>
      </c>
      <c r="H117" s="207" t="e">
        <f t="shared" si="13"/>
        <v>#REF!</v>
      </c>
      <c r="I117" s="207" t="e">
        <f t="shared" si="13"/>
        <v>#REF!</v>
      </c>
      <c r="J117" s="207" t="e">
        <f t="shared" si="13"/>
        <v>#REF!</v>
      </c>
      <c r="K117" s="207" t="e">
        <f t="shared" si="13"/>
        <v>#REF!</v>
      </c>
      <c r="L117" s="208" t="s">
        <v>407</v>
      </c>
      <c r="M117" s="207" t="e">
        <f>SUM(M9:M115)</f>
        <v>#REF!</v>
      </c>
      <c r="N117" s="207" t="e">
        <f>SUM(N9:N115)</f>
        <v>#REF!</v>
      </c>
      <c r="O117" s="207">
        <f>SUM(O9:O115)</f>
        <v>200000</v>
      </c>
      <c r="P117" s="209" t="s">
        <v>407</v>
      </c>
      <c r="Q117" s="207" t="e">
        <f>SUM(Q9:Q115)</f>
        <v>#REF!</v>
      </c>
      <c r="R117" s="207">
        <f>SUM(R9:R115)</f>
        <v>12393000</v>
      </c>
      <c r="S117" s="207" t="e">
        <f>SUM(S9:S115)</f>
        <v>#REF!</v>
      </c>
      <c r="T117" s="207" t="e">
        <f>SUM(T9:T116)</f>
        <v>#REF!</v>
      </c>
      <c r="U117" s="207" t="e">
        <f>U26+U45+U54+U74+U85+U109+U116</f>
        <v>#REF!</v>
      </c>
      <c r="V117" s="210" t="e">
        <f>+U45+U54+U74+U85+U109+U116</f>
        <v>#REF!</v>
      </c>
      <c r="X117" s="212"/>
    </row>
    <row r="119" spans="1:47" s="182" customFormat="1" ht="30.75" customHeight="1" x14ac:dyDescent="0.35">
      <c r="A119" s="213"/>
      <c r="B119" s="214"/>
      <c r="C119" s="214"/>
      <c r="D119" s="215"/>
      <c r="E119" s="179"/>
      <c r="F119" s="179"/>
      <c r="G119" s="179"/>
      <c r="H119" s="179"/>
      <c r="I119" s="179"/>
      <c r="J119" s="179"/>
      <c r="K119" s="180"/>
      <c r="L119" s="179"/>
      <c r="M119" s="317" t="s">
        <v>408</v>
      </c>
      <c r="N119" s="313"/>
      <c r="O119" s="313"/>
      <c r="P119" s="313"/>
      <c r="Q119" s="313"/>
      <c r="R119" s="313"/>
      <c r="S119" s="313"/>
      <c r="T119" s="313"/>
      <c r="U119" s="216"/>
      <c r="V119" s="181"/>
      <c r="W119" s="223"/>
      <c r="X119" s="217"/>
      <c r="AS119" s="218" t="e">
        <f>'[2]LƯƠNG THUẾ  (chờ Lan Anh ktra)'!S101</f>
        <v>#REF!</v>
      </c>
      <c r="AT119" s="218" t="e">
        <f>'[2]LƯƠNG THUẾ  (chờ Lan Anh ktra)'!Z101</f>
        <v>#REF!</v>
      </c>
      <c r="AU119" s="218" t="e">
        <f>M118-AS119-N118</f>
        <v>#REF!</v>
      </c>
    </row>
    <row r="120" spans="1:47" s="182" customFormat="1" ht="12" customHeight="1" x14ac:dyDescent="0.35">
      <c r="A120" s="184"/>
      <c r="B120" s="219"/>
      <c r="C120" s="219"/>
      <c r="D120" s="312" t="s">
        <v>409</v>
      </c>
      <c r="E120" s="313"/>
      <c r="F120" s="313"/>
      <c r="G120" s="184"/>
      <c r="H120" s="184"/>
      <c r="I120" s="179"/>
      <c r="J120" s="179"/>
      <c r="K120" s="180"/>
      <c r="L120" s="179"/>
      <c r="M120" s="312" t="s">
        <v>410</v>
      </c>
      <c r="N120" s="313"/>
      <c r="O120" s="313"/>
      <c r="P120" s="313"/>
      <c r="Q120" s="313"/>
      <c r="R120" s="313"/>
      <c r="S120" s="313"/>
      <c r="T120" s="313"/>
      <c r="U120" s="216"/>
      <c r="V120" s="184"/>
      <c r="W120" s="223"/>
      <c r="X120" s="217"/>
      <c r="AS120" s="218"/>
      <c r="AT120" s="218"/>
      <c r="AU120" s="220" t="e">
        <f>S118-AT119</f>
        <v>#REF!</v>
      </c>
    </row>
    <row r="121" spans="1:47" s="182" customFormat="1" ht="12" hidden="1" customHeight="1" x14ac:dyDescent="0.35">
      <c r="A121" s="184"/>
      <c r="B121" s="219"/>
      <c r="C121" s="219"/>
      <c r="D121" s="221"/>
      <c r="E121" s="184"/>
      <c r="F121" s="184"/>
      <c r="G121" s="184"/>
      <c r="H121" s="184"/>
      <c r="I121" s="179"/>
      <c r="J121" s="179"/>
      <c r="K121" s="180"/>
      <c r="L121" s="179"/>
      <c r="M121" s="179"/>
      <c r="N121" s="179"/>
      <c r="Q121" s="222"/>
      <c r="R121" s="222"/>
      <c r="S121" s="184"/>
      <c r="T121" s="181"/>
      <c r="U121" s="181"/>
      <c r="V121" s="181"/>
      <c r="W121" s="223"/>
      <c r="X121" s="217"/>
      <c r="AS121" s="218"/>
      <c r="AT121" s="218"/>
      <c r="AU121" s="220"/>
    </row>
    <row r="122" spans="1:47" s="182" customFormat="1" ht="69" customHeight="1" x14ac:dyDescent="0.35">
      <c r="A122" s="184"/>
      <c r="B122" s="219"/>
      <c r="C122" s="219"/>
      <c r="D122" s="221"/>
      <c r="E122" s="184"/>
      <c r="F122" s="184"/>
      <c r="G122" s="184"/>
      <c r="H122" s="184"/>
      <c r="I122" s="179"/>
      <c r="J122" s="179"/>
      <c r="K122" s="180"/>
      <c r="L122" s="179"/>
      <c r="M122" s="179"/>
      <c r="N122" s="179"/>
      <c r="Q122" s="222"/>
      <c r="R122" s="222"/>
      <c r="S122" s="184"/>
      <c r="T122" s="181"/>
      <c r="U122" s="181"/>
      <c r="V122" s="181"/>
      <c r="W122" s="223"/>
      <c r="X122" s="217"/>
      <c r="AS122" s="218"/>
      <c r="AT122" s="218"/>
      <c r="AU122" s="220"/>
    </row>
    <row r="123" spans="1:47" s="182" customFormat="1" ht="12" customHeight="1" x14ac:dyDescent="0.35">
      <c r="A123" s="184"/>
      <c r="B123" s="219"/>
      <c r="C123" s="219"/>
      <c r="D123" s="223" t="s">
        <v>411</v>
      </c>
      <c r="E123" s="223"/>
      <c r="F123" s="223"/>
      <c r="G123" s="184"/>
      <c r="H123" s="184"/>
      <c r="I123" s="179"/>
      <c r="J123" s="179"/>
      <c r="K123" s="180"/>
      <c r="L123" s="179"/>
      <c r="M123" s="312" t="s">
        <v>412</v>
      </c>
      <c r="N123" s="313"/>
      <c r="O123" s="313"/>
      <c r="P123" s="313"/>
      <c r="Q123" s="313"/>
      <c r="R123" s="313"/>
      <c r="S123" s="313"/>
      <c r="T123" s="313"/>
      <c r="U123" s="184"/>
      <c r="V123" s="184"/>
      <c r="W123" s="223"/>
      <c r="X123" s="217"/>
      <c r="AS123" s="218"/>
      <c r="AT123" s="223"/>
      <c r="AU123" s="220"/>
    </row>
    <row r="124" spans="1:47" s="182" customFormat="1" ht="12" customHeight="1" x14ac:dyDescent="0.35">
      <c r="A124" s="224"/>
      <c r="C124" s="181"/>
      <c r="D124" s="225"/>
      <c r="F124" s="179"/>
      <c r="G124" s="179"/>
      <c r="H124" s="179"/>
      <c r="I124" s="179"/>
      <c r="J124" s="179"/>
      <c r="K124" s="180"/>
      <c r="L124" s="179"/>
      <c r="M124" s="179"/>
      <c r="N124" s="179"/>
      <c r="S124" s="179"/>
      <c r="T124" s="181"/>
      <c r="U124" s="181"/>
      <c r="V124" s="181"/>
      <c r="W124" s="223"/>
      <c r="X124" s="217"/>
      <c r="AS124" s="218"/>
      <c r="AT124" s="223"/>
      <c r="AU124" s="220"/>
    </row>
    <row r="125" spans="1:47" s="227" customFormat="1" ht="18" customHeight="1" x14ac:dyDescent="0.5">
      <c r="A125" s="226"/>
      <c r="C125" s="228"/>
      <c r="D125" s="229"/>
      <c r="E125" s="230"/>
      <c r="F125" s="183"/>
      <c r="G125" s="183"/>
      <c r="H125" s="183"/>
      <c r="I125" s="183"/>
      <c r="J125" s="183"/>
      <c r="K125" s="183"/>
      <c r="L125" s="231"/>
      <c r="M125" s="183"/>
      <c r="N125" s="232"/>
      <c r="O125" s="183"/>
      <c r="P125" s="231"/>
      <c r="Q125" s="183"/>
      <c r="R125" s="233"/>
      <c r="S125" s="183"/>
      <c r="T125" s="183"/>
      <c r="U125" s="228"/>
      <c r="V125" s="228"/>
      <c r="W125" s="234"/>
      <c r="X125" s="235"/>
    </row>
  </sheetData>
  <autoFilter ref="A7:AA117" xr:uid="{00000000-0009-0000-0000-000000000000}"/>
  <mergeCells count="32">
    <mergeCell ref="W6:W7"/>
    <mergeCell ref="J2:U4"/>
    <mergeCell ref="A2:H4"/>
    <mergeCell ref="F6:H6"/>
    <mergeCell ref="B55:I55"/>
    <mergeCell ref="A109:T109"/>
    <mergeCell ref="C6:C7"/>
    <mergeCell ref="U6:U7"/>
    <mergeCell ref="M123:T123"/>
    <mergeCell ref="A45:T45"/>
    <mergeCell ref="B86:I86"/>
    <mergeCell ref="M119:T119"/>
    <mergeCell ref="A5:U5"/>
    <mergeCell ref="A54:T54"/>
    <mergeCell ref="E6:E7"/>
    <mergeCell ref="B6:B7"/>
    <mergeCell ref="A74:T74"/>
    <mergeCell ref="D6:D7"/>
    <mergeCell ref="A26:T26"/>
    <mergeCell ref="M120:T120"/>
    <mergeCell ref="T6:T7"/>
    <mergeCell ref="N6:N7"/>
    <mergeCell ref="A85:T85"/>
    <mergeCell ref="A116:T116"/>
    <mergeCell ref="D120:F120"/>
    <mergeCell ref="B75:I75"/>
    <mergeCell ref="I6:M6"/>
    <mergeCell ref="O6:S6"/>
    <mergeCell ref="A6:A7"/>
    <mergeCell ref="B46:I46"/>
    <mergeCell ref="A117:E117"/>
    <mergeCell ref="B110:I110"/>
  </mergeCells>
  <hyperlinks>
    <hyperlink ref="B47" location="'T. Lộc Toán'!A1" display="Mai Đình Lộc" xr:uid="{00000000-0004-0000-0000-000000000000}"/>
    <hyperlink ref="B56" location="'C.Diễm My_ Sinh'!A1" display="Nguyễn Diễm My" xr:uid="{00000000-0004-0000-0000-000001000000}"/>
    <hyperlink ref="B57" location="'T.Giang_ Tin'!A1" display="Nguyễn Văn Giang" xr:uid="{00000000-0004-0000-0000-000002000000}"/>
  </hyperlinks>
  <pageMargins left="0.56000000000000005" right="0.25" top="0.3" bottom="0.3" header="0.3" footer="0.3"/>
  <pageSetup paperSize="9" scale="8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0"/>
  <sheetViews>
    <sheetView tabSelected="1" zoomScale="80" zoomScaleNormal="80" workbookViewId="0">
      <pane xSplit="2" ySplit="5" topLeftCell="BM36" activePane="bottomRight" state="frozen"/>
      <selection pane="topRight" activeCell="C1" sqref="C1"/>
      <selection pane="bottomLeft" activeCell="A6" sqref="A6"/>
      <selection pane="bottomRight" activeCell="BM58" sqref="BM58"/>
    </sheetView>
  </sheetViews>
  <sheetFormatPr defaultRowHeight="13.15" x14ac:dyDescent="0.4"/>
  <cols>
    <col min="1" max="1" width="3.875" style="12" customWidth="1"/>
    <col min="2" max="2" width="36" style="9" customWidth="1"/>
    <col min="3" max="3" width="8.75" style="96" bestFit="1" customWidth="1"/>
    <col min="4" max="6" width="6.3125" style="12" customWidth="1"/>
    <col min="7" max="8" width="12.5625" style="13" customWidth="1"/>
    <col min="9" max="9" width="8.75" style="84" bestFit="1" customWidth="1"/>
    <col min="10" max="12" width="6.3125" style="55" customWidth="1"/>
    <col min="13" max="14" width="12.5625" style="56" customWidth="1"/>
    <col min="15" max="15" width="8.75" style="84" bestFit="1" customWidth="1"/>
    <col min="16" max="18" width="6.3125" style="55" customWidth="1"/>
    <col min="19" max="20" width="12.5625" style="56" customWidth="1"/>
    <col min="21" max="21" width="8.75" style="84" bestFit="1" customWidth="1"/>
    <col min="22" max="24" width="6.3125" style="55" customWidth="1"/>
    <col min="25" max="25" width="12.5625" style="56" customWidth="1"/>
    <col min="26" max="26" width="12.5625" style="66" customWidth="1"/>
    <col min="27" max="27" width="7.6875" style="84" customWidth="1"/>
    <col min="28" max="30" width="6.3125" style="55" customWidth="1"/>
    <col min="31" max="32" width="12.5625" style="56" customWidth="1"/>
    <col min="33" max="33" width="7.6875" style="84" customWidth="1"/>
    <col min="34" max="36" width="6.3125" style="55" customWidth="1"/>
    <col min="37" max="37" width="11.6875" style="56" customWidth="1"/>
    <col min="38" max="38" width="14.125" style="56" customWidth="1"/>
    <col min="39" max="39" width="7.6875" style="84" customWidth="1"/>
    <col min="40" max="42" width="6.3125" style="55" customWidth="1"/>
    <col min="43" max="44" width="12.5625" style="56" customWidth="1"/>
    <col min="45" max="48" width="9.125" style="9" customWidth="1"/>
    <col min="49" max="49" width="11.125" style="9" customWidth="1"/>
    <col min="50" max="50" width="11" style="9" customWidth="1"/>
    <col min="51" max="54" width="9.125" style="9" customWidth="1"/>
    <col min="55" max="55" width="11.125" style="9" customWidth="1"/>
    <col min="56" max="56" width="11" style="9" customWidth="1"/>
    <col min="57" max="60" width="9.125" style="9" customWidth="1"/>
    <col min="61" max="61" width="11.125" style="9" customWidth="1"/>
    <col min="62" max="62" width="12.3125" style="9" customWidth="1"/>
    <col min="63" max="63" width="8.5625" style="9" customWidth="1"/>
    <col min="64" max="66" width="9.125" style="9" customWidth="1"/>
    <col min="67" max="67" width="11.125" style="9" customWidth="1"/>
    <col min="68" max="68" width="11" style="9" customWidth="1"/>
    <col min="69" max="69" width="9.125" style="9" customWidth="1"/>
    <col min="70" max="70" width="8.3125" style="9" customWidth="1"/>
    <col min="71" max="71" width="7.4375" style="9" customWidth="1"/>
    <col min="72" max="72" width="9.125" style="9" customWidth="1"/>
    <col min="73" max="73" width="11.125" style="9" customWidth="1"/>
    <col min="74" max="74" width="13.4375" style="9" customWidth="1"/>
    <col min="75" max="75" width="10" style="9" bestFit="1" customWidth="1"/>
    <col min="76" max="78" width="9.125" style="9" customWidth="1"/>
    <col min="79" max="79" width="11.125" style="9" customWidth="1"/>
    <col min="80" max="80" width="11" style="9" customWidth="1"/>
    <col min="81" max="240" width="9.125" style="9" customWidth="1"/>
    <col min="241" max="241" width="7" style="9" customWidth="1"/>
    <col min="242" max="242" width="28.875" style="9" customWidth="1"/>
    <col min="243" max="244" width="11.4375" style="9" customWidth="1"/>
    <col min="245" max="245" width="12.5625" style="9" customWidth="1"/>
    <col min="246" max="256" width="11.4375" style="9" customWidth="1"/>
    <col min="257" max="257" width="29.875" style="9" customWidth="1"/>
    <col min="258" max="258" width="21.875" style="9" customWidth="1"/>
    <col min="259" max="496" width="9.125" style="9" customWidth="1"/>
    <col min="497" max="497" width="7" style="9" customWidth="1"/>
    <col min="498" max="498" width="28.875" style="9" customWidth="1"/>
    <col min="499" max="500" width="11.4375" style="9" customWidth="1"/>
    <col min="501" max="501" width="12.5625" style="9" customWidth="1"/>
    <col min="502" max="512" width="11.4375" style="9" customWidth="1"/>
    <col min="513" max="513" width="29.875" style="9" customWidth="1"/>
    <col min="514" max="514" width="21.875" style="9" customWidth="1"/>
    <col min="515" max="752" width="9.125" style="9" customWidth="1"/>
    <col min="753" max="753" width="7" style="9" customWidth="1"/>
    <col min="754" max="754" width="28.875" style="9" customWidth="1"/>
    <col min="755" max="756" width="11.4375" style="9" customWidth="1"/>
    <col min="757" max="757" width="12.5625" style="9" customWidth="1"/>
    <col min="758" max="768" width="11.4375" style="9" customWidth="1"/>
    <col min="769" max="769" width="29.875" style="9" customWidth="1"/>
    <col min="770" max="770" width="21.875" style="9" customWidth="1"/>
    <col min="771" max="1008" width="9.125" style="9" customWidth="1"/>
    <col min="1009" max="1009" width="7" style="9" customWidth="1"/>
    <col min="1010" max="1010" width="28.875" style="9" customWidth="1"/>
    <col min="1011" max="1012" width="11.4375" style="9" customWidth="1"/>
    <col min="1013" max="1013" width="12.5625" style="9" customWidth="1"/>
    <col min="1014" max="1024" width="11.4375" style="9" customWidth="1"/>
    <col min="1025" max="1025" width="29.875" style="9" customWidth="1"/>
    <col min="1026" max="1026" width="21.875" style="9" customWidth="1"/>
    <col min="1027" max="1264" width="9.125" style="9" customWidth="1"/>
    <col min="1265" max="1265" width="7" style="9" customWidth="1"/>
    <col min="1266" max="1266" width="28.875" style="9" customWidth="1"/>
    <col min="1267" max="1268" width="11.4375" style="9" customWidth="1"/>
    <col min="1269" max="1269" width="12.5625" style="9" customWidth="1"/>
    <col min="1270" max="1280" width="11.4375" style="9" customWidth="1"/>
    <col min="1281" max="1281" width="29.875" style="9" customWidth="1"/>
    <col min="1282" max="1282" width="21.875" style="9" customWidth="1"/>
    <col min="1283" max="1520" width="9.125" style="9" customWidth="1"/>
    <col min="1521" max="1521" width="7" style="9" customWidth="1"/>
    <col min="1522" max="1522" width="28.875" style="9" customWidth="1"/>
    <col min="1523" max="1524" width="11.4375" style="9" customWidth="1"/>
    <col min="1525" max="1525" width="12.5625" style="9" customWidth="1"/>
    <col min="1526" max="1536" width="11.4375" style="9" customWidth="1"/>
    <col min="1537" max="1537" width="29.875" style="9" customWidth="1"/>
    <col min="1538" max="1538" width="21.875" style="9" customWidth="1"/>
    <col min="1539" max="1776" width="9.125" style="9" customWidth="1"/>
    <col min="1777" max="1777" width="7" style="9" customWidth="1"/>
    <col min="1778" max="1778" width="28.875" style="9" customWidth="1"/>
    <col min="1779" max="1780" width="11.4375" style="9" customWidth="1"/>
    <col min="1781" max="1781" width="12.5625" style="9" customWidth="1"/>
    <col min="1782" max="1792" width="11.4375" style="9" customWidth="1"/>
    <col min="1793" max="1793" width="29.875" style="9" customWidth="1"/>
    <col min="1794" max="1794" width="21.875" style="9" customWidth="1"/>
    <col min="1795" max="2032" width="9.125" style="9" customWidth="1"/>
    <col min="2033" max="2033" width="7" style="9" customWidth="1"/>
    <col min="2034" max="2034" width="28.875" style="9" customWidth="1"/>
    <col min="2035" max="2036" width="11.4375" style="9" customWidth="1"/>
    <col min="2037" max="2037" width="12.5625" style="9" customWidth="1"/>
    <col min="2038" max="2048" width="11.4375" style="9" customWidth="1"/>
    <col min="2049" max="2049" width="29.875" style="9" customWidth="1"/>
    <col min="2050" max="2050" width="21.875" style="9" customWidth="1"/>
    <col min="2051" max="2288" width="9.125" style="9" customWidth="1"/>
    <col min="2289" max="2289" width="7" style="9" customWidth="1"/>
    <col min="2290" max="2290" width="28.875" style="9" customWidth="1"/>
    <col min="2291" max="2292" width="11.4375" style="9" customWidth="1"/>
    <col min="2293" max="2293" width="12.5625" style="9" customWidth="1"/>
    <col min="2294" max="2304" width="11.4375" style="9" customWidth="1"/>
    <col min="2305" max="2305" width="29.875" style="9" customWidth="1"/>
    <col min="2306" max="2306" width="21.875" style="9" customWidth="1"/>
    <col min="2307" max="2544" width="9.125" style="9" customWidth="1"/>
    <col min="2545" max="2545" width="7" style="9" customWidth="1"/>
    <col min="2546" max="2546" width="28.875" style="9" customWidth="1"/>
    <col min="2547" max="2548" width="11.4375" style="9" customWidth="1"/>
    <col min="2549" max="2549" width="12.5625" style="9" customWidth="1"/>
    <col min="2550" max="2560" width="11.4375" style="9" customWidth="1"/>
    <col min="2561" max="2561" width="29.875" style="9" customWidth="1"/>
    <col min="2562" max="2562" width="21.875" style="9" customWidth="1"/>
    <col min="2563" max="2800" width="9.125" style="9" customWidth="1"/>
    <col min="2801" max="2801" width="7" style="9" customWidth="1"/>
    <col min="2802" max="2802" width="28.875" style="9" customWidth="1"/>
    <col min="2803" max="2804" width="11.4375" style="9" customWidth="1"/>
    <col min="2805" max="2805" width="12.5625" style="9" customWidth="1"/>
    <col min="2806" max="2816" width="11.4375" style="9" customWidth="1"/>
    <col min="2817" max="2817" width="29.875" style="9" customWidth="1"/>
    <col min="2818" max="2818" width="21.875" style="9" customWidth="1"/>
    <col min="2819" max="3056" width="9.125" style="9" customWidth="1"/>
    <col min="3057" max="3057" width="7" style="9" customWidth="1"/>
    <col min="3058" max="3058" width="28.875" style="9" customWidth="1"/>
    <col min="3059" max="3060" width="11.4375" style="9" customWidth="1"/>
    <col min="3061" max="3061" width="12.5625" style="9" customWidth="1"/>
    <col min="3062" max="3072" width="11.4375" style="9" customWidth="1"/>
    <col min="3073" max="3073" width="29.875" style="9" customWidth="1"/>
    <col min="3074" max="3074" width="21.875" style="9" customWidth="1"/>
    <col min="3075" max="3312" width="9.125" style="9" customWidth="1"/>
    <col min="3313" max="3313" width="7" style="9" customWidth="1"/>
    <col min="3314" max="3314" width="28.875" style="9" customWidth="1"/>
    <col min="3315" max="3316" width="11.4375" style="9" customWidth="1"/>
    <col min="3317" max="3317" width="12.5625" style="9" customWidth="1"/>
    <col min="3318" max="3328" width="11.4375" style="9" customWidth="1"/>
    <col min="3329" max="3329" width="29.875" style="9" customWidth="1"/>
    <col min="3330" max="3330" width="21.875" style="9" customWidth="1"/>
    <col min="3331" max="3568" width="9.125" style="9" customWidth="1"/>
    <col min="3569" max="3569" width="7" style="9" customWidth="1"/>
    <col min="3570" max="3570" width="28.875" style="9" customWidth="1"/>
    <col min="3571" max="3572" width="11.4375" style="9" customWidth="1"/>
    <col min="3573" max="3573" width="12.5625" style="9" customWidth="1"/>
    <col min="3574" max="3584" width="11.4375" style="9" customWidth="1"/>
    <col min="3585" max="3585" width="29.875" style="9" customWidth="1"/>
    <col min="3586" max="3586" width="21.875" style="9" customWidth="1"/>
    <col min="3587" max="3824" width="9.125" style="9" customWidth="1"/>
    <col min="3825" max="3825" width="7" style="9" customWidth="1"/>
    <col min="3826" max="3826" width="28.875" style="9" customWidth="1"/>
    <col min="3827" max="3828" width="11.4375" style="9" customWidth="1"/>
    <col min="3829" max="3829" width="12.5625" style="9" customWidth="1"/>
    <col min="3830" max="3840" width="11.4375" style="9" customWidth="1"/>
    <col min="3841" max="3841" width="29.875" style="9" customWidth="1"/>
    <col min="3842" max="3842" width="21.875" style="9" customWidth="1"/>
    <col min="3843" max="4080" width="9.125" style="9" customWidth="1"/>
    <col min="4081" max="4081" width="7" style="9" customWidth="1"/>
    <col min="4082" max="4082" width="28.875" style="9" customWidth="1"/>
    <col min="4083" max="4084" width="11.4375" style="9" customWidth="1"/>
    <col min="4085" max="4085" width="12.5625" style="9" customWidth="1"/>
    <col min="4086" max="4096" width="11.4375" style="9" customWidth="1"/>
    <col min="4097" max="4097" width="29.875" style="9" customWidth="1"/>
    <col min="4098" max="4098" width="21.875" style="9" customWidth="1"/>
    <col min="4099" max="4336" width="9.125" style="9" customWidth="1"/>
    <col min="4337" max="4337" width="7" style="9" customWidth="1"/>
    <col min="4338" max="4338" width="28.875" style="9" customWidth="1"/>
    <col min="4339" max="4340" width="11.4375" style="9" customWidth="1"/>
    <col min="4341" max="4341" width="12.5625" style="9" customWidth="1"/>
    <col min="4342" max="4352" width="11.4375" style="9" customWidth="1"/>
    <col min="4353" max="4353" width="29.875" style="9" customWidth="1"/>
    <col min="4354" max="4354" width="21.875" style="9" customWidth="1"/>
    <col min="4355" max="4592" width="9.125" style="9" customWidth="1"/>
    <col min="4593" max="4593" width="7" style="9" customWidth="1"/>
    <col min="4594" max="4594" width="28.875" style="9" customWidth="1"/>
    <col min="4595" max="4596" width="11.4375" style="9" customWidth="1"/>
    <col min="4597" max="4597" width="12.5625" style="9" customWidth="1"/>
    <col min="4598" max="4608" width="11.4375" style="9" customWidth="1"/>
    <col min="4609" max="4609" width="29.875" style="9" customWidth="1"/>
    <col min="4610" max="4610" width="21.875" style="9" customWidth="1"/>
    <col min="4611" max="4848" width="9.125" style="9" customWidth="1"/>
    <col min="4849" max="4849" width="7" style="9" customWidth="1"/>
    <col min="4850" max="4850" width="28.875" style="9" customWidth="1"/>
    <col min="4851" max="4852" width="11.4375" style="9" customWidth="1"/>
    <col min="4853" max="4853" width="12.5625" style="9" customWidth="1"/>
    <col min="4854" max="4864" width="11.4375" style="9" customWidth="1"/>
    <col min="4865" max="4865" width="29.875" style="9" customWidth="1"/>
    <col min="4866" max="4866" width="21.875" style="9" customWidth="1"/>
    <col min="4867" max="5104" width="9.125" style="9" customWidth="1"/>
    <col min="5105" max="5105" width="7" style="9" customWidth="1"/>
    <col min="5106" max="5106" width="28.875" style="9" customWidth="1"/>
    <col min="5107" max="5108" width="11.4375" style="9" customWidth="1"/>
    <col min="5109" max="5109" width="12.5625" style="9" customWidth="1"/>
    <col min="5110" max="5120" width="11.4375" style="9" customWidth="1"/>
    <col min="5121" max="5121" width="29.875" style="9" customWidth="1"/>
    <col min="5122" max="5122" width="21.875" style="9" customWidth="1"/>
    <col min="5123" max="5360" width="9.125" style="9" customWidth="1"/>
    <col min="5361" max="5361" width="7" style="9" customWidth="1"/>
    <col min="5362" max="5362" width="28.875" style="9" customWidth="1"/>
    <col min="5363" max="5364" width="11.4375" style="9" customWidth="1"/>
    <col min="5365" max="5365" width="12.5625" style="9" customWidth="1"/>
    <col min="5366" max="5376" width="11.4375" style="9" customWidth="1"/>
    <col min="5377" max="5377" width="29.875" style="9" customWidth="1"/>
    <col min="5378" max="5378" width="21.875" style="9" customWidth="1"/>
    <col min="5379" max="5616" width="9.125" style="9" customWidth="1"/>
    <col min="5617" max="5617" width="7" style="9" customWidth="1"/>
    <col min="5618" max="5618" width="28.875" style="9" customWidth="1"/>
    <col min="5619" max="5620" width="11.4375" style="9" customWidth="1"/>
    <col min="5621" max="5621" width="12.5625" style="9" customWidth="1"/>
    <col min="5622" max="5632" width="11.4375" style="9" customWidth="1"/>
    <col min="5633" max="5633" width="29.875" style="9" customWidth="1"/>
    <col min="5634" max="5634" width="21.875" style="9" customWidth="1"/>
    <col min="5635" max="5872" width="9.125" style="9" customWidth="1"/>
    <col min="5873" max="5873" width="7" style="9" customWidth="1"/>
    <col min="5874" max="5874" width="28.875" style="9" customWidth="1"/>
    <col min="5875" max="5876" width="11.4375" style="9" customWidth="1"/>
    <col min="5877" max="5877" width="12.5625" style="9" customWidth="1"/>
    <col min="5878" max="5888" width="11.4375" style="9" customWidth="1"/>
    <col min="5889" max="5889" width="29.875" style="9" customWidth="1"/>
    <col min="5890" max="5890" width="21.875" style="9" customWidth="1"/>
    <col min="5891" max="6128" width="9.125" style="9" customWidth="1"/>
    <col min="6129" max="6129" width="7" style="9" customWidth="1"/>
    <col min="6130" max="6130" width="28.875" style="9" customWidth="1"/>
    <col min="6131" max="6132" width="11.4375" style="9" customWidth="1"/>
    <col min="6133" max="6133" width="12.5625" style="9" customWidth="1"/>
    <col min="6134" max="6144" width="11.4375" style="9" customWidth="1"/>
    <col min="6145" max="6145" width="29.875" style="9" customWidth="1"/>
    <col min="6146" max="6146" width="21.875" style="9" customWidth="1"/>
    <col min="6147" max="6384" width="9.125" style="9" customWidth="1"/>
    <col min="6385" max="6385" width="7" style="9" customWidth="1"/>
    <col min="6386" max="6386" width="28.875" style="9" customWidth="1"/>
    <col min="6387" max="6388" width="11.4375" style="9" customWidth="1"/>
    <col min="6389" max="6389" width="12.5625" style="9" customWidth="1"/>
    <col min="6390" max="6400" width="11.4375" style="9" customWidth="1"/>
    <col min="6401" max="6401" width="29.875" style="9" customWidth="1"/>
    <col min="6402" max="6402" width="21.875" style="9" customWidth="1"/>
    <col min="6403" max="6640" width="9.125" style="9" customWidth="1"/>
    <col min="6641" max="6641" width="7" style="9" customWidth="1"/>
    <col min="6642" max="6642" width="28.875" style="9" customWidth="1"/>
    <col min="6643" max="6644" width="11.4375" style="9" customWidth="1"/>
    <col min="6645" max="6645" width="12.5625" style="9" customWidth="1"/>
    <col min="6646" max="6656" width="11.4375" style="9" customWidth="1"/>
    <col min="6657" max="6657" width="29.875" style="9" customWidth="1"/>
    <col min="6658" max="6658" width="21.875" style="9" customWidth="1"/>
    <col min="6659" max="6896" width="9.125" style="9" customWidth="1"/>
    <col min="6897" max="6897" width="7" style="9" customWidth="1"/>
    <col min="6898" max="6898" width="28.875" style="9" customWidth="1"/>
    <col min="6899" max="6900" width="11.4375" style="9" customWidth="1"/>
    <col min="6901" max="6901" width="12.5625" style="9" customWidth="1"/>
    <col min="6902" max="6912" width="11.4375" style="9" customWidth="1"/>
    <col min="6913" max="6913" width="29.875" style="9" customWidth="1"/>
    <col min="6914" max="6914" width="21.875" style="9" customWidth="1"/>
    <col min="6915" max="7152" width="9.125" style="9" customWidth="1"/>
    <col min="7153" max="7153" width="7" style="9" customWidth="1"/>
    <col min="7154" max="7154" width="28.875" style="9" customWidth="1"/>
    <col min="7155" max="7156" width="11.4375" style="9" customWidth="1"/>
    <col min="7157" max="7157" width="12.5625" style="9" customWidth="1"/>
    <col min="7158" max="7168" width="11.4375" style="9" customWidth="1"/>
    <col min="7169" max="7169" width="29.875" style="9" customWidth="1"/>
    <col min="7170" max="7170" width="21.875" style="9" customWidth="1"/>
    <col min="7171" max="7408" width="9.125" style="9" customWidth="1"/>
    <col min="7409" max="7409" width="7" style="9" customWidth="1"/>
    <col min="7410" max="7410" width="28.875" style="9" customWidth="1"/>
    <col min="7411" max="7412" width="11.4375" style="9" customWidth="1"/>
    <col min="7413" max="7413" width="12.5625" style="9" customWidth="1"/>
    <col min="7414" max="7424" width="11.4375" style="9" customWidth="1"/>
    <col min="7425" max="7425" width="29.875" style="9" customWidth="1"/>
    <col min="7426" max="7426" width="21.875" style="9" customWidth="1"/>
    <col min="7427" max="7664" width="9.125" style="9" customWidth="1"/>
    <col min="7665" max="7665" width="7" style="9" customWidth="1"/>
    <col min="7666" max="7666" width="28.875" style="9" customWidth="1"/>
    <col min="7667" max="7668" width="11.4375" style="9" customWidth="1"/>
    <col min="7669" max="7669" width="12.5625" style="9" customWidth="1"/>
    <col min="7670" max="7680" width="11.4375" style="9" customWidth="1"/>
    <col min="7681" max="7681" width="29.875" style="9" customWidth="1"/>
    <col min="7682" max="7682" width="21.875" style="9" customWidth="1"/>
    <col min="7683" max="7920" width="9.125" style="9" customWidth="1"/>
    <col min="7921" max="7921" width="7" style="9" customWidth="1"/>
    <col min="7922" max="7922" width="28.875" style="9" customWidth="1"/>
    <col min="7923" max="7924" width="11.4375" style="9" customWidth="1"/>
    <col min="7925" max="7925" width="12.5625" style="9" customWidth="1"/>
    <col min="7926" max="7936" width="11.4375" style="9" customWidth="1"/>
    <col min="7937" max="7937" width="29.875" style="9" customWidth="1"/>
    <col min="7938" max="7938" width="21.875" style="9" customWidth="1"/>
    <col min="7939" max="8176" width="9.125" style="9" customWidth="1"/>
    <col min="8177" max="8177" width="7" style="9" customWidth="1"/>
    <col min="8178" max="8178" width="28.875" style="9" customWidth="1"/>
    <col min="8179" max="8180" width="11.4375" style="9" customWidth="1"/>
    <col min="8181" max="8181" width="12.5625" style="9" customWidth="1"/>
    <col min="8182" max="8192" width="11.4375" style="9" customWidth="1"/>
    <col min="8193" max="8193" width="29.875" style="9" customWidth="1"/>
    <col min="8194" max="8194" width="21.875" style="9" customWidth="1"/>
    <col min="8195" max="8432" width="9.125" style="9" customWidth="1"/>
    <col min="8433" max="8433" width="7" style="9" customWidth="1"/>
    <col min="8434" max="8434" width="28.875" style="9" customWidth="1"/>
    <col min="8435" max="8436" width="11.4375" style="9" customWidth="1"/>
    <col min="8437" max="8437" width="12.5625" style="9" customWidth="1"/>
    <col min="8438" max="8448" width="11.4375" style="9" customWidth="1"/>
    <col min="8449" max="8449" width="29.875" style="9" customWidth="1"/>
    <col min="8450" max="8450" width="21.875" style="9" customWidth="1"/>
    <col min="8451" max="8688" width="9.125" style="9" customWidth="1"/>
    <col min="8689" max="8689" width="7" style="9" customWidth="1"/>
    <col min="8690" max="8690" width="28.875" style="9" customWidth="1"/>
    <col min="8691" max="8692" width="11.4375" style="9" customWidth="1"/>
    <col min="8693" max="8693" width="12.5625" style="9" customWidth="1"/>
    <col min="8694" max="8704" width="11.4375" style="9" customWidth="1"/>
    <col min="8705" max="8705" width="29.875" style="9" customWidth="1"/>
    <col min="8706" max="8706" width="21.875" style="9" customWidth="1"/>
    <col min="8707" max="8944" width="9.125" style="9" customWidth="1"/>
    <col min="8945" max="8945" width="7" style="9" customWidth="1"/>
    <col min="8946" max="8946" width="28.875" style="9" customWidth="1"/>
    <col min="8947" max="8948" width="11.4375" style="9" customWidth="1"/>
    <col min="8949" max="8949" width="12.5625" style="9" customWidth="1"/>
    <col min="8950" max="8960" width="11.4375" style="9" customWidth="1"/>
    <col min="8961" max="8961" width="29.875" style="9" customWidth="1"/>
    <col min="8962" max="8962" width="21.875" style="9" customWidth="1"/>
    <col min="8963" max="9200" width="9.125" style="9" customWidth="1"/>
    <col min="9201" max="9201" width="7" style="9" customWidth="1"/>
    <col min="9202" max="9202" width="28.875" style="9" customWidth="1"/>
    <col min="9203" max="9204" width="11.4375" style="9" customWidth="1"/>
    <col min="9205" max="9205" width="12.5625" style="9" customWidth="1"/>
    <col min="9206" max="9216" width="11.4375" style="9" customWidth="1"/>
    <col min="9217" max="9217" width="29.875" style="9" customWidth="1"/>
    <col min="9218" max="9218" width="21.875" style="9" customWidth="1"/>
    <col min="9219" max="9456" width="9.125" style="9" customWidth="1"/>
    <col min="9457" max="9457" width="7" style="9" customWidth="1"/>
    <col min="9458" max="9458" width="28.875" style="9" customWidth="1"/>
    <col min="9459" max="9460" width="11.4375" style="9" customWidth="1"/>
    <col min="9461" max="9461" width="12.5625" style="9" customWidth="1"/>
    <col min="9462" max="9472" width="11.4375" style="9" customWidth="1"/>
    <col min="9473" max="9473" width="29.875" style="9" customWidth="1"/>
    <col min="9474" max="9474" width="21.875" style="9" customWidth="1"/>
    <col min="9475" max="9712" width="9.125" style="9" customWidth="1"/>
    <col min="9713" max="9713" width="7" style="9" customWidth="1"/>
    <col min="9714" max="9714" width="28.875" style="9" customWidth="1"/>
    <col min="9715" max="9716" width="11.4375" style="9" customWidth="1"/>
    <col min="9717" max="9717" width="12.5625" style="9" customWidth="1"/>
    <col min="9718" max="9728" width="11.4375" style="9" customWidth="1"/>
    <col min="9729" max="9729" width="29.875" style="9" customWidth="1"/>
    <col min="9730" max="9730" width="21.875" style="9" customWidth="1"/>
    <col min="9731" max="9968" width="9.125" style="9" customWidth="1"/>
    <col min="9969" max="9969" width="7" style="9" customWidth="1"/>
    <col min="9970" max="9970" width="28.875" style="9" customWidth="1"/>
    <col min="9971" max="9972" width="11.4375" style="9" customWidth="1"/>
    <col min="9973" max="9973" width="12.5625" style="9" customWidth="1"/>
    <col min="9974" max="9984" width="11.4375" style="9" customWidth="1"/>
    <col min="9985" max="9985" width="29.875" style="9" customWidth="1"/>
    <col min="9986" max="9986" width="21.875" style="9" customWidth="1"/>
    <col min="9987" max="10224" width="9.125" style="9" customWidth="1"/>
    <col min="10225" max="10225" width="7" style="9" customWidth="1"/>
    <col min="10226" max="10226" width="28.875" style="9" customWidth="1"/>
    <col min="10227" max="10228" width="11.4375" style="9" customWidth="1"/>
    <col min="10229" max="10229" width="12.5625" style="9" customWidth="1"/>
    <col min="10230" max="10240" width="11.4375" style="9" customWidth="1"/>
    <col min="10241" max="10241" width="29.875" style="9" customWidth="1"/>
    <col min="10242" max="10242" width="21.875" style="9" customWidth="1"/>
    <col min="10243" max="10480" width="9.125" style="9" customWidth="1"/>
    <col min="10481" max="10481" width="7" style="9" customWidth="1"/>
    <col min="10482" max="10482" width="28.875" style="9" customWidth="1"/>
    <col min="10483" max="10484" width="11.4375" style="9" customWidth="1"/>
    <col min="10485" max="10485" width="12.5625" style="9" customWidth="1"/>
    <col min="10486" max="10496" width="11.4375" style="9" customWidth="1"/>
    <col min="10497" max="10497" width="29.875" style="9" customWidth="1"/>
    <col min="10498" max="10498" width="21.875" style="9" customWidth="1"/>
    <col min="10499" max="10736" width="9.125" style="9" customWidth="1"/>
    <col min="10737" max="10737" width="7" style="9" customWidth="1"/>
    <col min="10738" max="10738" width="28.875" style="9" customWidth="1"/>
    <col min="10739" max="10740" width="11.4375" style="9" customWidth="1"/>
    <col min="10741" max="10741" width="12.5625" style="9" customWidth="1"/>
    <col min="10742" max="10752" width="11.4375" style="9" customWidth="1"/>
    <col min="10753" max="10753" width="29.875" style="9" customWidth="1"/>
    <col min="10754" max="10754" width="21.875" style="9" customWidth="1"/>
    <col min="10755" max="10992" width="9.125" style="9" customWidth="1"/>
    <col min="10993" max="10993" width="7" style="9" customWidth="1"/>
    <col min="10994" max="10994" width="28.875" style="9" customWidth="1"/>
    <col min="10995" max="10996" width="11.4375" style="9" customWidth="1"/>
    <col min="10997" max="10997" width="12.5625" style="9" customWidth="1"/>
    <col min="10998" max="11008" width="11.4375" style="9" customWidth="1"/>
    <col min="11009" max="11009" width="29.875" style="9" customWidth="1"/>
    <col min="11010" max="11010" width="21.875" style="9" customWidth="1"/>
    <col min="11011" max="11248" width="9.125" style="9" customWidth="1"/>
    <col min="11249" max="11249" width="7" style="9" customWidth="1"/>
    <col min="11250" max="11250" width="28.875" style="9" customWidth="1"/>
    <col min="11251" max="11252" width="11.4375" style="9" customWidth="1"/>
    <col min="11253" max="11253" width="12.5625" style="9" customWidth="1"/>
    <col min="11254" max="11264" width="11.4375" style="9" customWidth="1"/>
    <col min="11265" max="11265" width="29.875" style="9" customWidth="1"/>
    <col min="11266" max="11266" width="21.875" style="9" customWidth="1"/>
    <col min="11267" max="11504" width="9.125" style="9" customWidth="1"/>
    <col min="11505" max="11505" width="7" style="9" customWidth="1"/>
    <col min="11506" max="11506" width="28.875" style="9" customWidth="1"/>
    <col min="11507" max="11508" width="11.4375" style="9" customWidth="1"/>
    <col min="11509" max="11509" width="12.5625" style="9" customWidth="1"/>
    <col min="11510" max="11520" width="11.4375" style="9" customWidth="1"/>
    <col min="11521" max="11521" width="29.875" style="9" customWidth="1"/>
    <col min="11522" max="11522" width="21.875" style="9" customWidth="1"/>
    <col min="11523" max="11760" width="9.125" style="9" customWidth="1"/>
    <col min="11761" max="11761" width="7" style="9" customWidth="1"/>
    <col min="11762" max="11762" width="28.875" style="9" customWidth="1"/>
    <col min="11763" max="11764" width="11.4375" style="9" customWidth="1"/>
    <col min="11765" max="11765" width="12.5625" style="9" customWidth="1"/>
    <col min="11766" max="11776" width="11.4375" style="9" customWidth="1"/>
    <col min="11777" max="11777" width="29.875" style="9" customWidth="1"/>
    <col min="11778" max="11778" width="21.875" style="9" customWidth="1"/>
    <col min="11779" max="12016" width="9.125" style="9" customWidth="1"/>
    <col min="12017" max="12017" width="7" style="9" customWidth="1"/>
    <col min="12018" max="12018" width="28.875" style="9" customWidth="1"/>
    <col min="12019" max="12020" width="11.4375" style="9" customWidth="1"/>
    <col min="12021" max="12021" width="12.5625" style="9" customWidth="1"/>
    <col min="12022" max="12032" width="11.4375" style="9" customWidth="1"/>
    <col min="12033" max="12033" width="29.875" style="9" customWidth="1"/>
    <col min="12034" max="12034" width="21.875" style="9" customWidth="1"/>
    <col min="12035" max="12272" width="9.125" style="9" customWidth="1"/>
    <col min="12273" max="12273" width="7" style="9" customWidth="1"/>
    <col min="12274" max="12274" width="28.875" style="9" customWidth="1"/>
    <col min="12275" max="12276" width="11.4375" style="9" customWidth="1"/>
    <col min="12277" max="12277" width="12.5625" style="9" customWidth="1"/>
    <col min="12278" max="12288" width="11.4375" style="9" customWidth="1"/>
    <col min="12289" max="12289" width="29.875" style="9" customWidth="1"/>
    <col min="12290" max="12290" width="21.875" style="9" customWidth="1"/>
    <col min="12291" max="12528" width="9.125" style="9" customWidth="1"/>
    <col min="12529" max="12529" width="7" style="9" customWidth="1"/>
    <col min="12530" max="12530" width="28.875" style="9" customWidth="1"/>
    <col min="12531" max="12532" width="11.4375" style="9" customWidth="1"/>
    <col min="12533" max="12533" width="12.5625" style="9" customWidth="1"/>
    <col min="12534" max="12544" width="11.4375" style="9" customWidth="1"/>
    <col min="12545" max="12545" width="29.875" style="9" customWidth="1"/>
    <col min="12546" max="12546" width="21.875" style="9" customWidth="1"/>
    <col min="12547" max="12784" width="9.125" style="9" customWidth="1"/>
    <col min="12785" max="12785" width="7" style="9" customWidth="1"/>
    <col min="12786" max="12786" width="28.875" style="9" customWidth="1"/>
    <col min="12787" max="12788" width="11.4375" style="9" customWidth="1"/>
    <col min="12789" max="12789" width="12.5625" style="9" customWidth="1"/>
    <col min="12790" max="12800" width="11.4375" style="9" customWidth="1"/>
    <col min="12801" max="12801" width="29.875" style="9" customWidth="1"/>
    <col min="12802" max="12802" width="21.875" style="9" customWidth="1"/>
    <col min="12803" max="13040" width="9.125" style="9" customWidth="1"/>
    <col min="13041" max="13041" width="7" style="9" customWidth="1"/>
    <col min="13042" max="13042" width="28.875" style="9" customWidth="1"/>
    <col min="13043" max="13044" width="11.4375" style="9" customWidth="1"/>
    <col min="13045" max="13045" width="12.5625" style="9" customWidth="1"/>
    <col min="13046" max="13056" width="11.4375" style="9" customWidth="1"/>
    <col min="13057" max="13057" width="29.875" style="9" customWidth="1"/>
    <col min="13058" max="13058" width="21.875" style="9" customWidth="1"/>
    <col min="13059" max="13296" width="9.125" style="9" customWidth="1"/>
    <col min="13297" max="13297" width="7" style="9" customWidth="1"/>
    <col min="13298" max="13298" width="28.875" style="9" customWidth="1"/>
    <col min="13299" max="13300" width="11.4375" style="9" customWidth="1"/>
    <col min="13301" max="13301" width="12.5625" style="9" customWidth="1"/>
    <col min="13302" max="13312" width="11.4375" style="9" customWidth="1"/>
    <col min="13313" max="13313" width="29.875" style="9" customWidth="1"/>
    <col min="13314" max="13314" width="21.875" style="9" customWidth="1"/>
    <col min="13315" max="13552" width="9.125" style="9" customWidth="1"/>
    <col min="13553" max="13553" width="7" style="9" customWidth="1"/>
    <col min="13554" max="13554" width="28.875" style="9" customWidth="1"/>
    <col min="13555" max="13556" width="11.4375" style="9" customWidth="1"/>
    <col min="13557" max="13557" width="12.5625" style="9" customWidth="1"/>
    <col min="13558" max="13568" width="11.4375" style="9" customWidth="1"/>
    <col min="13569" max="13569" width="29.875" style="9" customWidth="1"/>
    <col min="13570" max="13570" width="21.875" style="9" customWidth="1"/>
    <col min="13571" max="13808" width="9.125" style="9" customWidth="1"/>
    <col min="13809" max="13809" width="7" style="9" customWidth="1"/>
    <col min="13810" max="13810" width="28.875" style="9" customWidth="1"/>
    <col min="13811" max="13812" width="11.4375" style="9" customWidth="1"/>
    <col min="13813" max="13813" width="12.5625" style="9" customWidth="1"/>
    <col min="13814" max="13824" width="11.4375" style="9" customWidth="1"/>
    <col min="13825" max="13825" width="29.875" style="9" customWidth="1"/>
    <col min="13826" max="13826" width="21.875" style="9" customWidth="1"/>
    <col min="13827" max="14064" width="9.125" style="9" customWidth="1"/>
    <col min="14065" max="14065" width="7" style="9" customWidth="1"/>
    <col min="14066" max="14066" width="28.875" style="9" customWidth="1"/>
    <col min="14067" max="14068" width="11.4375" style="9" customWidth="1"/>
    <col min="14069" max="14069" width="12.5625" style="9" customWidth="1"/>
    <col min="14070" max="14080" width="11.4375" style="9" customWidth="1"/>
    <col min="14081" max="14081" width="29.875" style="9" customWidth="1"/>
    <col min="14082" max="14082" width="21.875" style="9" customWidth="1"/>
    <col min="14083" max="14320" width="9.125" style="9" customWidth="1"/>
    <col min="14321" max="14321" width="7" style="9" customWidth="1"/>
    <col min="14322" max="14322" width="28.875" style="9" customWidth="1"/>
    <col min="14323" max="14324" width="11.4375" style="9" customWidth="1"/>
    <col min="14325" max="14325" width="12.5625" style="9" customWidth="1"/>
    <col min="14326" max="14336" width="11.4375" style="9" customWidth="1"/>
    <col min="14337" max="14337" width="29.875" style="9" customWidth="1"/>
    <col min="14338" max="14338" width="21.875" style="9" customWidth="1"/>
    <col min="14339" max="14576" width="9.125" style="9" customWidth="1"/>
    <col min="14577" max="14577" width="7" style="9" customWidth="1"/>
    <col min="14578" max="14578" width="28.875" style="9" customWidth="1"/>
    <col min="14579" max="14580" width="11.4375" style="9" customWidth="1"/>
    <col min="14581" max="14581" width="12.5625" style="9" customWidth="1"/>
    <col min="14582" max="14592" width="11.4375" style="9" customWidth="1"/>
    <col min="14593" max="14593" width="29.875" style="9" customWidth="1"/>
    <col min="14594" max="14594" width="21.875" style="9" customWidth="1"/>
    <col min="14595" max="14832" width="9.125" style="9" customWidth="1"/>
    <col min="14833" max="14833" width="7" style="9" customWidth="1"/>
    <col min="14834" max="14834" width="28.875" style="9" customWidth="1"/>
    <col min="14835" max="14836" width="11.4375" style="9" customWidth="1"/>
    <col min="14837" max="14837" width="12.5625" style="9" customWidth="1"/>
    <col min="14838" max="14848" width="11.4375" style="9" customWidth="1"/>
    <col min="14849" max="14849" width="29.875" style="9" customWidth="1"/>
    <col min="14850" max="14850" width="21.875" style="9" customWidth="1"/>
    <col min="14851" max="15088" width="9.125" style="9" customWidth="1"/>
    <col min="15089" max="15089" width="7" style="9" customWidth="1"/>
    <col min="15090" max="15090" width="28.875" style="9" customWidth="1"/>
    <col min="15091" max="15092" width="11.4375" style="9" customWidth="1"/>
    <col min="15093" max="15093" width="12.5625" style="9" customWidth="1"/>
    <col min="15094" max="15104" width="11.4375" style="9" customWidth="1"/>
    <col min="15105" max="15105" width="29.875" style="9" customWidth="1"/>
    <col min="15106" max="15106" width="21.875" style="9" customWidth="1"/>
    <col min="15107" max="15344" width="9.125" style="9" customWidth="1"/>
    <col min="15345" max="15345" width="7" style="9" customWidth="1"/>
    <col min="15346" max="15346" width="28.875" style="9" customWidth="1"/>
    <col min="15347" max="15348" width="11.4375" style="9" customWidth="1"/>
    <col min="15349" max="15349" width="12.5625" style="9" customWidth="1"/>
    <col min="15350" max="15360" width="11.4375" style="9" customWidth="1"/>
    <col min="15361" max="15361" width="29.875" style="9" customWidth="1"/>
    <col min="15362" max="15362" width="21.875" style="9" customWidth="1"/>
    <col min="15363" max="15600" width="9.125" style="9" customWidth="1"/>
    <col min="15601" max="15601" width="7" style="9" customWidth="1"/>
    <col min="15602" max="15602" width="28.875" style="9" customWidth="1"/>
    <col min="15603" max="15604" width="11.4375" style="9" customWidth="1"/>
    <col min="15605" max="15605" width="12.5625" style="9" customWidth="1"/>
    <col min="15606" max="15616" width="11.4375" style="9" customWidth="1"/>
    <col min="15617" max="15617" width="29.875" style="9" customWidth="1"/>
    <col min="15618" max="15618" width="21.875" style="9" customWidth="1"/>
    <col min="15619" max="15856" width="9.125" style="9" customWidth="1"/>
    <col min="15857" max="15857" width="7" style="9" customWidth="1"/>
    <col min="15858" max="15858" width="28.875" style="9" customWidth="1"/>
    <col min="15859" max="15860" width="11.4375" style="9" customWidth="1"/>
    <col min="15861" max="15861" width="12.5625" style="9" customWidth="1"/>
    <col min="15862" max="15872" width="11.4375" style="9" customWidth="1"/>
    <col min="15873" max="15873" width="29.875" style="9" customWidth="1"/>
    <col min="15874" max="15874" width="21.875" style="9" customWidth="1"/>
    <col min="15875" max="16112" width="9.125" style="9" customWidth="1"/>
    <col min="16113" max="16113" width="7" style="9" customWidth="1"/>
    <col min="16114" max="16114" width="28.875" style="9" customWidth="1"/>
    <col min="16115" max="16116" width="11.4375" style="9" customWidth="1"/>
    <col min="16117" max="16117" width="12.5625" style="9" customWidth="1"/>
    <col min="16118" max="16128" width="11.4375" style="9" customWidth="1"/>
    <col min="16129" max="16129" width="29.875" style="9" customWidth="1"/>
    <col min="16130" max="16130" width="21.875" style="9" customWidth="1"/>
    <col min="16131" max="16384" width="9.125" style="9" customWidth="1"/>
  </cols>
  <sheetData>
    <row r="1" spans="1:80" ht="24" hidden="1" customHeight="1" x14ac:dyDescent="0.4">
      <c r="B1" s="7"/>
      <c r="C1" s="93"/>
      <c r="D1" s="8"/>
      <c r="E1" s="8"/>
      <c r="F1" s="8"/>
      <c r="G1" s="9"/>
      <c r="H1" s="9"/>
      <c r="I1" s="77"/>
      <c r="J1" s="51"/>
      <c r="K1" s="51"/>
      <c r="L1" s="51"/>
      <c r="M1" s="16"/>
      <c r="N1" s="16"/>
      <c r="O1" s="77"/>
      <c r="P1" s="51"/>
      <c r="Q1" s="51"/>
      <c r="R1" s="51"/>
      <c r="S1" s="16"/>
      <c r="T1" s="16"/>
      <c r="U1" s="77"/>
      <c r="V1" s="51"/>
      <c r="W1" s="51"/>
      <c r="X1" s="51"/>
      <c r="Y1" s="16"/>
      <c r="Z1" s="65"/>
      <c r="AA1" s="77"/>
      <c r="AB1" s="51"/>
      <c r="AC1" s="51"/>
      <c r="AD1" s="51"/>
      <c r="AE1" s="16"/>
      <c r="AF1" s="16"/>
      <c r="AG1" s="77"/>
      <c r="AH1" s="51"/>
      <c r="AI1" s="51"/>
      <c r="AJ1" s="51"/>
      <c r="AK1" s="16"/>
      <c r="AL1" s="16"/>
      <c r="AM1" s="77"/>
      <c r="AN1" s="51"/>
      <c r="AO1" s="51"/>
      <c r="AP1" s="51"/>
      <c r="AQ1" s="16"/>
      <c r="AR1" s="16"/>
    </row>
    <row r="2" spans="1:80" s="10" customFormat="1" ht="22.5" customHeight="1" thickBot="1" x14ac:dyDescent="0.4">
      <c r="A2" s="299" t="s">
        <v>0</v>
      </c>
      <c r="B2" s="300"/>
      <c r="C2" s="299" t="s">
        <v>1</v>
      </c>
      <c r="D2" s="277"/>
      <c r="E2" s="277"/>
      <c r="F2" s="277"/>
      <c r="G2" s="277"/>
      <c r="H2" s="300"/>
      <c r="I2" s="299" t="s">
        <v>2</v>
      </c>
      <c r="J2" s="277"/>
      <c r="K2" s="277"/>
      <c r="L2" s="277"/>
      <c r="M2" s="277"/>
      <c r="N2" s="300"/>
      <c r="O2" s="276" t="s">
        <v>3</v>
      </c>
      <c r="P2" s="277"/>
      <c r="Q2" s="277"/>
      <c r="R2" s="277"/>
      <c r="S2" s="277"/>
      <c r="T2" s="277"/>
      <c r="U2" s="276" t="s">
        <v>4</v>
      </c>
      <c r="V2" s="277"/>
      <c r="W2" s="277"/>
      <c r="X2" s="277"/>
      <c r="Y2" s="277"/>
      <c r="Z2" s="277"/>
      <c r="AA2" s="281" t="s">
        <v>5</v>
      </c>
      <c r="AB2" s="282"/>
      <c r="AC2" s="282"/>
      <c r="AD2" s="282"/>
      <c r="AE2" s="282"/>
      <c r="AF2" s="283"/>
      <c r="AG2" s="281" t="s">
        <v>6</v>
      </c>
      <c r="AH2" s="282"/>
      <c r="AI2" s="282"/>
      <c r="AJ2" s="282"/>
      <c r="AK2" s="282"/>
      <c r="AL2" s="283"/>
      <c r="AM2" s="281" t="s">
        <v>7</v>
      </c>
      <c r="AN2" s="282"/>
      <c r="AO2" s="282"/>
      <c r="AP2" s="282"/>
      <c r="AQ2" s="282"/>
      <c r="AR2" s="283"/>
      <c r="AS2" s="281" t="s">
        <v>8</v>
      </c>
      <c r="AT2" s="282"/>
      <c r="AU2" s="282"/>
      <c r="AV2" s="282"/>
      <c r="AW2" s="282"/>
      <c r="AX2" s="283"/>
      <c r="AY2" s="281" t="s">
        <v>9</v>
      </c>
      <c r="AZ2" s="282"/>
      <c r="BA2" s="282"/>
      <c r="BB2" s="282"/>
      <c r="BC2" s="282"/>
      <c r="BD2" s="283"/>
      <c r="BE2" s="281" t="s">
        <v>10</v>
      </c>
      <c r="BF2" s="282"/>
      <c r="BG2" s="282"/>
      <c r="BH2" s="282"/>
      <c r="BI2" s="282"/>
      <c r="BJ2" s="283"/>
      <c r="BK2" s="281" t="s">
        <v>11</v>
      </c>
      <c r="BL2" s="282"/>
      <c r="BM2" s="282"/>
      <c r="BN2" s="282"/>
      <c r="BO2" s="282"/>
      <c r="BP2" s="283"/>
      <c r="BQ2" s="301" t="s">
        <v>12</v>
      </c>
      <c r="BR2" s="282"/>
      <c r="BS2" s="282"/>
      <c r="BT2" s="282"/>
      <c r="BU2" s="282"/>
      <c r="BV2" s="282"/>
      <c r="BW2" s="284" t="s">
        <v>13</v>
      </c>
      <c r="BX2" s="279"/>
      <c r="BY2" s="279"/>
      <c r="BZ2" s="279"/>
      <c r="CA2" s="279"/>
      <c r="CB2" s="280"/>
    </row>
    <row r="3" spans="1:80" s="11" customFormat="1" ht="18.75" customHeight="1" x14ac:dyDescent="0.35">
      <c r="A3" s="19"/>
      <c r="B3" s="45" t="s">
        <v>14</v>
      </c>
      <c r="C3" s="297" t="s">
        <v>15</v>
      </c>
      <c r="D3" s="277"/>
      <c r="E3" s="277"/>
      <c r="F3" s="277"/>
      <c r="G3" s="277"/>
      <c r="H3" s="296"/>
      <c r="I3" s="291" t="s">
        <v>16</v>
      </c>
      <c r="J3" s="279"/>
      <c r="K3" s="279"/>
      <c r="L3" s="279"/>
      <c r="M3" s="279"/>
      <c r="N3" s="280"/>
      <c r="O3" s="285" t="s">
        <v>17</v>
      </c>
      <c r="P3" s="279"/>
      <c r="Q3" s="279"/>
      <c r="R3" s="279"/>
      <c r="S3" s="279"/>
      <c r="T3" s="280"/>
      <c r="U3" s="295" t="s">
        <v>18</v>
      </c>
      <c r="V3" s="277"/>
      <c r="W3" s="277"/>
      <c r="X3" s="277"/>
      <c r="Y3" s="277"/>
      <c r="Z3" s="296"/>
      <c r="AA3" s="297" t="s">
        <v>19</v>
      </c>
      <c r="AB3" s="277"/>
      <c r="AC3" s="277"/>
      <c r="AD3" s="277"/>
      <c r="AE3" s="277"/>
      <c r="AF3" s="296"/>
      <c r="AG3" s="295" t="s">
        <v>20</v>
      </c>
      <c r="AH3" s="277"/>
      <c r="AI3" s="277"/>
      <c r="AJ3" s="277"/>
      <c r="AK3" s="277"/>
      <c r="AL3" s="296"/>
      <c r="AM3" s="297" t="s">
        <v>21</v>
      </c>
      <c r="AN3" s="277"/>
      <c r="AO3" s="277"/>
      <c r="AP3" s="277"/>
      <c r="AQ3" s="277"/>
      <c r="AR3" s="296"/>
      <c r="AS3" s="307" t="s">
        <v>22</v>
      </c>
      <c r="AT3" s="277"/>
      <c r="AU3" s="277"/>
      <c r="AV3" s="277"/>
      <c r="AW3" s="277"/>
      <c r="AX3" s="296"/>
      <c r="AY3" s="297" t="s">
        <v>23</v>
      </c>
      <c r="AZ3" s="277"/>
      <c r="BA3" s="277"/>
      <c r="BB3" s="277"/>
      <c r="BC3" s="277"/>
      <c r="BD3" s="296"/>
      <c r="BE3" s="307" t="s">
        <v>24</v>
      </c>
      <c r="BF3" s="277"/>
      <c r="BG3" s="277"/>
      <c r="BH3" s="277"/>
      <c r="BI3" s="277"/>
      <c r="BJ3" s="296"/>
      <c r="BK3" s="297" t="s">
        <v>25</v>
      </c>
      <c r="BL3" s="277"/>
      <c r="BM3" s="277"/>
      <c r="BN3" s="277"/>
      <c r="BO3" s="277"/>
      <c r="BP3" s="296"/>
      <c r="BQ3" s="298" t="s">
        <v>26</v>
      </c>
      <c r="BR3" s="277"/>
      <c r="BS3" s="277"/>
      <c r="BT3" s="277"/>
      <c r="BU3" s="277"/>
      <c r="BV3" s="296"/>
      <c r="BW3" s="285" t="s">
        <v>462</v>
      </c>
      <c r="BX3" s="279"/>
      <c r="BY3" s="279"/>
      <c r="BZ3" s="279"/>
      <c r="CA3" s="279"/>
      <c r="CB3" s="280"/>
    </row>
    <row r="4" spans="1:80" s="11" customFormat="1" ht="18.75" customHeight="1" x14ac:dyDescent="0.35">
      <c r="A4" s="19"/>
      <c r="B4" s="45" t="s">
        <v>27</v>
      </c>
      <c r="C4" s="289" t="s">
        <v>28</v>
      </c>
      <c r="D4" s="279"/>
      <c r="E4" s="279"/>
      <c r="F4" s="279"/>
      <c r="G4" s="279"/>
      <c r="H4" s="280"/>
      <c r="I4" s="291" t="s">
        <v>29</v>
      </c>
      <c r="J4" s="279"/>
      <c r="K4" s="279"/>
      <c r="L4" s="279"/>
      <c r="M4" s="279"/>
      <c r="N4" s="280"/>
      <c r="O4" s="285" t="s">
        <v>30</v>
      </c>
      <c r="P4" s="279"/>
      <c r="Q4" s="279"/>
      <c r="R4" s="279"/>
      <c r="S4" s="279"/>
      <c r="T4" s="280"/>
      <c r="U4" s="309" t="s">
        <v>31</v>
      </c>
      <c r="V4" s="279"/>
      <c r="W4" s="279"/>
      <c r="X4" s="279"/>
      <c r="Y4" s="279"/>
      <c r="Z4" s="280"/>
      <c r="AA4" s="289" t="s">
        <v>32</v>
      </c>
      <c r="AB4" s="279"/>
      <c r="AC4" s="279"/>
      <c r="AD4" s="279"/>
      <c r="AE4" s="279"/>
      <c r="AF4" s="280"/>
      <c r="AG4" s="309" t="s">
        <v>33</v>
      </c>
      <c r="AH4" s="279"/>
      <c r="AI4" s="279"/>
      <c r="AJ4" s="279"/>
      <c r="AK4" s="279"/>
      <c r="AL4" s="280"/>
      <c r="AM4" s="289" t="s">
        <v>34</v>
      </c>
      <c r="AN4" s="279"/>
      <c r="AO4" s="279"/>
      <c r="AP4" s="279"/>
      <c r="AQ4" s="279"/>
      <c r="AR4" s="280"/>
      <c r="AS4" s="311" t="s">
        <v>35</v>
      </c>
      <c r="AT4" s="279"/>
      <c r="AU4" s="279"/>
      <c r="AV4" s="279"/>
      <c r="AW4" s="279"/>
      <c r="AX4" s="280"/>
      <c r="AY4" s="289" t="s">
        <v>35</v>
      </c>
      <c r="AZ4" s="279"/>
      <c r="BA4" s="279"/>
      <c r="BB4" s="279"/>
      <c r="BC4" s="279"/>
      <c r="BD4" s="280"/>
      <c r="BE4" s="311" t="s">
        <v>35</v>
      </c>
      <c r="BF4" s="279"/>
      <c r="BG4" s="279"/>
      <c r="BH4" s="279"/>
      <c r="BI4" s="279"/>
      <c r="BJ4" s="280"/>
      <c r="BK4" s="289" t="s">
        <v>36</v>
      </c>
      <c r="BL4" s="279"/>
      <c r="BM4" s="279"/>
      <c r="BN4" s="279"/>
      <c r="BO4" s="279"/>
      <c r="BP4" s="280"/>
      <c r="BQ4" s="278" t="s">
        <v>34</v>
      </c>
      <c r="BR4" s="279"/>
      <c r="BS4" s="279"/>
      <c r="BT4" s="279"/>
      <c r="BU4" s="279"/>
      <c r="BV4" s="280"/>
      <c r="BW4" s="285" t="s">
        <v>35</v>
      </c>
      <c r="BX4" s="279"/>
      <c r="BY4" s="279"/>
      <c r="BZ4" s="279"/>
      <c r="CA4" s="279"/>
      <c r="CB4" s="280"/>
    </row>
    <row r="5" spans="1:80" s="2" customFormat="1" ht="30" customHeight="1" x14ac:dyDescent="0.35">
      <c r="A5" s="308"/>
      <c r="B5" s="279"/>
      <c r="C5" s="87" t="s">
        <v>37</v>
      </c>
      <c r="D5" s="6" t="s">
        <v>38</v>
      </c>
      <c r="E5" s="6" t="s">
        <v>39</v>
      </c>
      <c r="F5" s="6" t="s">
        <v>40</v>
      </c>
      <c r="G5" s="20" t="s">
        <v>41</v>
      </c>
      <c r="H5" s="21" t="s">
        <v>42</v>
      </c>
      <c r="I5" s="78" t="s">
        <v>37</v>
      </c>
      <c r="J5" s="61" t="s">
        <v>38</v>
      </c>
      <c r="K5" s="61" t="s">
        <v>39</v>
      </c>
      <c r="L5" s="61" t="s">
        <v>40</v>
      </c>
      <c r="M5" s="62" t="s">
        <v>41</v>
      </c>
      <c r="N5" s="62" t="s">
        <v>42</v>
      </c>
      <c r="O5" s="99" t="s">
        <v>37</v>
      </c>
      <c r="P5" s="6" t="s">
        <v>38</v>
      </c>
      <c r="Q5" s="6" t="s">
        <v>39</v>
      </c>
      <c r="R5" s="6" t="s">
        <v>40</v>
      </c>
      <c r="S5" s="20" t="s">
        <v>41</v>
      </c>
      <c r="T5" s="105" t="s">
        <v>42</v>
      </c>
      <c r="U5" s="109" t="s">
        <v>37</v>
      </c>
      <c r="V5" s="61" t="s">
        <v>38</v>
      </c>
      <c r="W5" s="61" t="s">
        <v>39</v>
      </c>
      <c r="X5" s="61" t="s">
        <v>40</v>
      </c>
      <c r="Y5" s="62" t="s">
        <v>41</v>
      </c>
      <c r="Z5" s="110" t="s">
        <v>42</v>
      </c>
      <c r="AA5" s="87" t="s">
        <v>37</v>
      </c>
      <c r="AB5" s="6" t="s">
        <v>38</v>
      </c>
      <c r="AC5" s="6" t="s">
        <v>39</v>
      </c>
      <c r="AD5" s="6" t="s">
        <v>40</v>
      </c>
      <c r="AE5" s="20" t="s">
        <v>41</v>
      </c>
      <c r="AF5" s="21" t="s">
        <v>42</v>
      </c>
      <c r="AG5" s="109" t="s">
        <v>37</v>
      </c>
      <c r="AH5" s="61" t="s">
        <v>38</v>
      </c>
      <c r="AI5" s="61" t="s">
        <v>39</v>
      </c>
      <c r="AJ5" s="61" t="s">
        <v>40</v>
      </c>
      <c r="AK5" s="62" t="s">
        <v>41</v>
      </c>
      <c r="AL5" s="110" t="s">
        <v>42</v>
      </c>
      <c r="AM5" s="87" t="s">
        <v>37</v>
      </c>
      <c r="AN5" s="6" t="s">
        <v>38</v>
      </c>
      <c r="AO5" s="6" t="s">
        <v>39</v>
      </c>
      <c r="AP5" s="6" t="s">
        <v>40</v>
      </c>
      <c r="AQ5" s="20" t="s">
        <v>41</v>
      </c>
      <c r="AR5" s="21" t="s">
        <v>42</v>
      </c>
      <c r="AS5" s="119" t="s">
        <v>37</v>
      </c>
      <c r="AT5" s="120" t="s">
        <v>38</v>
      </c>
      <c r="AU5" s="120" t="s">
        <v>39</v>
      </c>
      <c r="AV5" s="120" t="s">
        <v>40</v>
      </c>
      <c r="AW5" s="121" t="s">
        <v>41</v>
      </c>
      <c r="AX5" s="122" t="s">
        <v>42</v>
      </c>
      <c r="AY5" s="87" t="s">
        <v>37</v>
      </c>
      <c r="AZ5" s="6" t="s">
        <v>38</v>
      </c>
      <c r="BA5" s="6" t="s">
        <v>39</v>
      </c>
      <c r="BB5" s="6" t="s">
        <v>40</v>
      </c>
      <c r="BC5" s="20" t="s">
        <v>41</v>
      </c>
      <c r="BD5" s="21" t="s">
        <v>42</v>
      </c>
      <c r="BE5" s="119" t="s">
        <v>37</v>
      </c>
      <c r="BF5" s="120" t="s">
        <v>38</v>
      </c>
      <c r="BG5" s="120" t="s">
        <v>39</v>
      </c>
      <c r="BH5" s="120" t="s">
        <v>40</v>
      </c>
      <c r="BI5" s="121" t="s">
        <v>41</v>
      </c>
      <c r="BJ5" s="122" t="s">
        <v>42</v>
      </c>
      <c r="BK5" s="87" t="s">
        <v>37</v>
      </c>
      <c r="BL5" s="6" t="s">
        <v>38</v>
      </c>
      <c r="BM5" s="6" t="s">
        <v>39</v>
      </c>
      <c r="BN5" s="6" t="s">
        <v>40</v>
      </c>
      <c r="BO5" s="20" t="s">
        <v>41</v>
      </c>
      <c r="BP5" s="21" t="s">
        <v>42</v>
      </c>
      <c r="BQ5" s="116" t="s">
        <v>37</v>
      </c>
      <c r="BR5" s="5" t="s">
        <v>38</v>
      </c>
      <c r="BS5" s="5" t="s">
        <v>39</v>
      </c>
      <c r="BT5" s="5" t="s">
        <v>40</v>
      </c>
      <c r="BU5" s="59" t="s">
        <v>41</v>
      </c>
      <c r="BV5" s="268" t="s">
        <v>42</v>
      </c>
      <c r="BW5" s="99" t="s">
        <v>37</v>
      </c>
      <c r="BX5" s="6" t="s">
        <v>38</v>
      </c>
      <c r="BY5" s="6" t="s">
        <v>39</v>
      </c>
      <c r="BZ5" s="6" t="s">
        <v>40</v>
      </c>
      <c r="CA5" s="20" t="s">
        <v>41</v>
      </c>
      <c r="CB5" s="20" t="s">
        <v>42</v>
      </c>
    </row>
    <row r="6" spans="1:80" s="63" customFormat="1" ht="23.25" customHeight="1" x14ac:dyDescent="0.35">
      <c r="A6" s="22">
        <v>1</v>
      </c>
      <c r="B6" s="41" t="s">
        <v>43</v>
      </c>
      <c r="C6" s="88"/>
      <c r="D6" s="23"/>
      <c r="E6" s="23"/>
      <c r="F6" s="23"/>
      <c r="G6" s="23">
        <f>SUM(G7:G9)</f>
        <v>12000000</v>
      </c>
      <c r="H6" s="24">
        <f>SUM(H7:H8)</f>
        <v>0</v>
      </c>
      <c r="I6" s="79"/>
      <c r="J6" s="23"/>
      <c r="K6" s="23"/>
      <c r="L6" s="23"/>
      <c r="M6" s="23">
        <f>SUM(M7:M9)</f>
        <v>9000000</v>
      </c>
      <c r="N6" s="23">
        <f>SUM(N7:N8)</f>
        <v>0</v>
      </c>
      <c r="O6" s="100"/>
      <c r="P6" s="23"/>
      <c r="Q6" s="23"/>
      <c r="R6" s="23"/>
      <c r="S6" s="23">
        <f>SUM(S7:S9)</f>
        <v>5000000</v>
      </c>
      <c r="T6" s="72">
        <f>SUM(T7:T8)</f>
        <v>0</v>
      </c>
      <c r="U6" s="88"/>
      <c r="V6" s="23"/>
      <c r="W6" s="23"/>
      <c r="X6" s="23"/>
      <c r="Y6" s="23">
        <f>SUM(Y7:Y9)</f>
        <v>3700000</v>
      </c>
      <c r="Z6" s="111">
        <f>SUM(Z7:Z8)</f>
        <v>0</v>
      </c>
      <c r="AA6" s="88"/>
      <c r="AB6" s="23"/>
      <c r="AC6" s="23"/>
      <c r="AD6" s="23"/>
      <c r="AE6" s="23">
        <f>SUM(AE7:AE9)</f>
        <v>6000000</v>
      </c>
      <c r="AF6" s="24">
        <f>SUM(AF7:AF8)</f>
        <v>0</v>
      </c>
      <c r="AG6" s="88"/>
      <c r="AH6" s="23"/>
      <c r="AI6" s="23"/>
      <c r="AJ6" s="23"/>
      <c r="AK6" s="23">
        <f>SUM(AK7:AK9)</f>
        <v>2000000</v>
      </c>
      <c r="AL6" s="24">
        <f>SUM(AL7:AL8)</f>
        <v>0</v>
      </c>
      <c r="AM6" s="88"/>
      <c r="AN6" s="23"/>
      <c r="AO6" s="23"/>
      <c r="AP6" s="23"/>
      <c r="AQ6" s="23">
        <f>SUM(AQ7:AQ8)</f>
        <v>0</v>
      </c>
      <c r="AR6" s="24">
        <f>SUM(AR7:AR8)</f>
        <v>0</v>
      </c>
      <c r="AS6" s="88"/>
      <c r="AT6" s="23"/>
      <c r="AU6" s="23"/>
      <c r="AV6" s="23"/>
      <c r="AW6" s="23">
        <f>SUM(AW7:AW9)</f>
        <v>1000000</v>
      </c>
      <c r="AX6" s="24">
        <f>SUM(AX7:AX8)</f>
        <v>0</v>
      </c>
      <c r="AY6" s="88"/>
      <c r="AZ6" s="23"/>
      <c r="BA6" s="23"/>
      <c r="BB6" s="23"/>
      <c r="BC6" s="23">
        <f>SUM(BC7:BC9)</f>
        <v>1000000</v>
      </c>
      <c r="BD6" s="24">
        <f>SUM(BD7:BD8)</f>
        <v>0</v>
      </c>
      <c r="BE6" s="88"/>
      <c r="BF6" s="23"/>
      <c r="BG6" s="23"/>
      <c r="BH6" s="23"/>
      <c r="BI6" s="23">
        <f>SUM(BI7:BI9)</f>
        <v>2000000</v>
      </c>
      <c r="BJ6" s="24">
        <f>SUM(BJ7:BJ8)</f>
        <v>0</v>
      </c>
      <c r="BK6" s="88"/>
      <c r="BL6" s="23"/>
      <c r="BM6" s="23"/>
      <c r="BN6" s="23"/>
      <c r="BO6" s="23">
        <f>SUM(BO7:BO9)</f>
        <v>0</v>
      </c>
      <c r="BP6" s="24">
        <f>SUM(BP7:BP8)</f>
        <v>0</v>
      </c>
      <c r="BQ6" s="128"/>
      <c r="BR6" s="60"/>
      <c r="BS6" s="60"/>
      <c r="BT6" s="60"/>
      <c r="BU6" s="60">
        <f>SUM(BU7:BU9)</f>
        <v>1000000</v>
      </c>
      <c r="BV6" s="269">
        <f>SUM(BV7:BV8)</f>
        <v>0</v>
      </c>
      <c r="BW6" s="100"/>
      <c r="BX6" s="23"/>
      <c r="BY6" s="23"/>
      <c r="BZ6" s="23"/>
      <c r="CA6" s="23">
        <f>SUM(CA7:CA9)</f>
        <v>0</v>
      </c>
      <c r="CB6" s="23">
        <f>SUM(CB7:CB8)</f>
        <v>0</v>
      </c>
    </row>
    <row r="7" spans="1:80" s="1" customFormat="1" ht="23.25" customHeight="1" x14ac:dyDescent="0.35">
      <c r="A7" s="25" t="s">
        <v>44</v>
      </c>
      <c r="B7" s="42" t="s">
        <v>45</v>
      </c>
      <c r="C7" s="94"/>
      <c r="D7" s="26"/>
      <c r="E7" s="26"/>
      <c r="F7" s="26"/>
      <c r="G7" s="27">
        <v>10000000</v>
      </c>
      <c r="H7" s="28"/>
      <c r="I7" s="80"/>
      <c r="J7" s="34"/>
      <c r="K7" s="34"/>
      <c r="L7" s="34"/>
      <c r="M7" s="3">
        <v>7000000</v>
      </c>
      <c r="N7" s="3"/>
      <c r="O7" s="101"/>
      <c r="P7" s="34"/>
      <c r="Q7" s="34"/>
      <c r="R7" s="34"/>
      <c r="S7" s="3">
        <v>5000000</v>
      </c>
      <c r="T7" s="106"/>
      <c r="U7" s="89"/>
      <c r="V7" s="34"/>
      <c r="W7" s="34"/>
      <c r="X7" s="34"/>
      <c r="Y7" s="3">
        <v>500000</v>
      </c>
      <c r="Z7" s="69" t="s">
        <v>46</v>
      </c>
      <c r="AA7" s="89"/>
      <c r="AB7" s="34"/>
      <c r="AC7" s="34"/>
      <c r="AD7" s="34"/>
      <c r="AE7" s="3">
        <v>4000000</v>
      </c>
      <c r="AF7" s="69" t="s">
        <v>47</v>
      </c>
      <c r="AG7" s="89"/>
      <c r="AH7" s="34"/>
      <c r="AI7" s="34"/>
      <c r="AJ7" s="34"/>
      <c r="AK7" s="3">
        <v>1000000</v>
      </c>
      <c r="AL7" s="69" t="s">
        <v>48</v>
      </c>
      <c r="AM7" s="89"/>
      <c r="AN7" s="34"/>
      <c r="AO7" s="34"/>
      <c r="AP7" s="34"/>
      <c r="AQ7" s="3"/>
      <c r="AR7" s="69"/>
      <c r="AS7" s="89"/>
      <c r="AT7" s="34"/>
      <c r="AU7" s="34"/>
      <c r="AV7" s="34"/>
      <c r="AW7" s="3"/>
      <c r="AX7" s="69"/>
      <c r="AY7" s="89"/>
      <c r="AZ7" s="34"/>
      <c r="BA7" s="34"/>
      <c r="BB7" s="34"/>
      <c r="BC7" s="3"/>
      <c r="BD7" s="69"/>
      <c r="BE7" s="89"/>
      <c r="BF7" s="34"/>
      <c r="BG7" s="34"/>
      <c r="BH7" s="34"/>
      <c r="BI7" s="3">
        <v>1000000</v>
      </c>
      <c r="BJ7" s="69" t="s">
        <v>49</v>
      </c>
      <c r="BK7" s="89"/>
      <c r="BL7" s="118"/>
      <c r="BM7" s="118"/>
      <c r="BN7" s="34"/>
      <c r="BO7" s="3"/>
      <c r="BP7" s="69"/>
      <c r="BQ7" s="89"/>
      <c r="BR7" s="118"/>
      <c r="BS7" s="118"/>
      <c r="BT7" s="34"/>
      <c r="BU7" s="3">
        <v>1000000</v>
      </c>
      <c r="BV7" s="130" t="s">
        <v>50</v>
      </c>
      <c r="BW7" s="101"/>
      <c r="BX7" s="118"/>
      <c r="BY7" s="118"/>
      <c r="BZ7" s="34"/>
      <c r="CA7" s="3"/>
      <c r="CB7" s="167"/>
    </row>
    <row r="8" spans="1:80" s="1" customFormat="1" ht="24.75" customHeight="1" x14ac:dyDescent="0.35">
      <c r="A8" s="25" t="s">
        <v>51</v>
      </c>
      <c r="B8" s="42" t="s">
        <v>52</v>
      </c>
      <c r="C8" s="94"/>
      <c r="D8" s="26"/>
      <c r="E8" s="26"/>
      <c r="F8" s="26"/>
      <c r="G8" s="27">
        <v>2000000</v>
      </c>
      <c r="H8" s="28" t="s">
        <v>53</v>
      </c>
      <c r="I8" s="80"/>
      <c r="J8" s="34"/>
      <c r="K8" s="34"/>
      <c r="L8" s="34"/>
      <c r="M8" s="3">
        <v>2000000</v>
      </c>
      <c r="N8" s="3" t="s">
        <v>54</v>
      </c>
      <c r="O8" s="101"/>
      <c r="P8" s="34"/>
      <c r="Q8" s="34"/>
      <c r="R8" s="34"/>
      <c r="S8" s="3"/>
      <c r="T8" s="106"/>
      <c r="U8" s="89"/>
      <c r="V8" s="34"/>
      <c r="W8" s="34"/>
      <c r="X8" s="34"/>
      <c r="Y8" s="3">
        <f>1000000+1000000</f>
        <v>2000000</v>
      </c>
      <c r="Z8" s="112" t="s">
        <v>55</v>
      </c>
      <c r="AA8" s="89"/>
      <c r="AB8" s="34"/>
      <c r="AC8" s="34"/>
      <c r="AD8" s="34"/>
      <c r="AE8" s="3">
        <v>2000000</v>
      </c>
      <c r="AF8" s="69" t="s">
        <v>56</v>
      </c>
      <c r="AG8" s="89"/>
      <c r="AH8" s="34"/>
      <c r="AI8" s="34"/>
      <c r="AJ8" s="34"/>
      <c r="AK8" s="3">
        <v>1000000</v>
      </c>
      <c r="AL8" s="69" t="s">
        <v>57</v>
      </c>
      <c r="AM8" s="89"/>
      <c r="AN8" s="34"/>
      <c r="AO8" s="34"/>
      <c r="AP8" s="34"/>
      <c r="AQ8" s="3"/>
      <c r="AR8" s="69"/>
      <c r="AS8" s="89"/>
      <c r="AT8" s="34"/>
      <c r="AU8" s="34"/>
      <c r="AV8" s="34"/>
      <c r="AW8" s="3">
        <v>1000000</v>
      </c>
      <c r="AX8" s="69" t="s">
        <v>58</v>
      </c>
      <c r="AY8" s="89"/>
      <c r="AZ8" s="34"/>
      <c r="BA8" s="34"/>
      <c r="BB8" s="34"/>
      <c r="BC8" s="3">
        <v>1000000</v>
      </c>
      <c r="BD8" s="69" t="s">
        <v>59</v>
      </c>
      <c r="BE8" s="89"/>
      <c r="BF8" s="34"/>
      <c r="BG8" s="34"/>
      <c r="BH8" s="34"/>
      <c r="BI8" s="3">
        <v>1000000</v>
      </c>
      <c r="BJ8" s="69" t="s">
        <v>60</v>
      </c>
      <c r="BK8" s="89"/>
      <c r="BL8" s="118"/>
      <c r="BM8" s="118"/>
      <c r="BN8" s="34"/>
      <c r="BO8" s="3"/>
      <c r="BP8" s="69"/>
      <c r="BQ8" s="89"/>
      <c r="BR8" s="118"/>
      <c r="BS8" s="118"/>
      <c r="BT8" s="34"/>
      <c r="BU8" s="3"/>
      <c r="BV8" s="130"/>
      <c r="BW8" s="101"/>
      <c r="BX8" s="118"/>
      <c r="BY8" s="118"/>
      <c r="BZ8" s="34"/>
      <c r="CA8" s="3"/>
      <c r="CB8" s="167"/>
    </row>
    <row r="9" spans="1:80" s="1" customFormat="1" ht="24.75" customHeight="1" x14ac:dyDescent="0.35">
      <c r="A9" s="25" t="s">
        <v>61</v>
      </c>
      <c r="B9" s="42" t="s">
        <v>62</v>
      </c>
      <c r="C9" s="94"/>
      <c r="D9" s="26"/>
      <c r="E9" s="26"/>
      <c r="F9" s="26"/>
      <c r="G9" s="27"/>
      <c r="H9" s="28"/>
      <c r="I9" s="80"/>
      <c r="J9" s="34"/>
      <c r="K9" s="34"/>
      <c r="L9" s="34"/>
      <c r="M9" s="3"/>
      <c r="N9" s="3"/>
      <c r="O9" s="101"/>
      <c r="P9" s="34"/>
      <c r="Q9" s="34"/>
      <c r="R9" s="34"/>
      <c r="S9" s="3"/>
      <c r="T9" s="106"/>
      <c r="U9" s="89"/>
      <c r="V9" s="34"/>
      <c r="W9" s="34"/>
      <c r="X9" s="34"/>
      <c r="Y9" s="3">
        <v>1200000</v>
      </c>
      <c r="Z9" s="112" t="s">
        <v>63</v>
      </c>
      <c r="AA9" s="89"/>
      <c r="AB9" s="34"/>
      <c r="AC9" s="34"/>
      <c r="AD9" s="34"/>
      <c r="AE9" s="3"/>
      <c r="AF9" s="30"/>
      <c r="AG9" s="89"/>
      <c r="AH9" s="34"/>
      <c r="AI9" s="34"/>
      <c r="AJ9" s="34"/>
      <c r="AK9" s="3"/>
      <c r="AL9" s="69"/>
      <c r="AM9" s="89"/>
      <c r="AN9" s="34"/>
      <c r="AO9" s="34"/>
      <c r="AP9" s="34"/>
      <c r="AQ9" s="3"/>
      <c r="AR9" s="30"/>
      <c r="AS9" s="89"/>
      <c r="AT9" s="34"/>
      <c r="AU9" s="34"/>
      <c r="AV9" s="34"/>
      <c r="AW9" s="3"/>
      <c r="AX9" s="30"/>
      <c r="AY9" s="89"/>
      <c r="AZ9" s="34"/>
      <c r="BA9" s="34"/>
      <c r="BB9" s="34"/>
      <c r="BC9" s="3"/>
      <c r="BD9" s="30"/>
      <c r="BE9" s="89"/>
      <c r="BF9" s="34"/>
      <c r="BG9" s="34"/>
      <c r="BH9" s="34"/>
      <c r="BI9" s="3"/>
      <c r="BJ9" s="30"/>
      <c r="BK9" s="89"/>
      <c r="BL9" s="118"/>
      <c r="BM9" s="118"/>
      <c r="BN9" s="34"/>
      <c r="BO9" s="3"/>
      <c r="BP9" s="30"/>
      <c r="BQ9" s="89"/>
      <c r="BR9" s="118"/>
      <c r="BS9" s="118"/>
      <c r="BT9" s="34"/>
      <c r="BU9" s="3"/>
      <c r="BV9" s="106"/>
      <c r="BW9" s="101"/>
      <c r="BX9" s="118"/>
      <c r="BY9" s="118"/>
      <c r="BZ9" s="34"/>
      <c r="CA9" s="3"/>
      <c r="CB9" s="3"/>
    </row>
    <row r="10" spans="1:80" s="63" customFormat="1" ht="23.25" customHeight="1" x14ac:dyDescent="0.35">
      <c r="A10" s="22">
        <v>2</v>
      </c>
      <c r="B10" s="41" t="s">
        <v>64</v>
      </c>
      <c r="C10" s="88"/>
      <c r="D10" s="43">
        <f>SUM(D11:D19)</f>
        <v>0</v>
      </c>
      <c r="E10" s="43">
        <f>SUM(E11:E19)</f>
        <v>0</v>
      </c>
      <c r="F10" s="43">
        <f>SUM(F11:F19)</f>
        <v>0</v>
      </c>
      <c r="G10" s="23">
        <f>SUM(G11:G20)</f>
        <v>1800000</v>
      </c>
      <c r="H10" s="24">
        <f>D10+E10+F10</f>
        <v>0</v>
      </c>
      <c r="I10" s="79"/>
      <c r="J10" s="43">
        <f>SUM(J11:J19)</f>
        <v>0</v>
      </c>
      <c r="K10" s="43">
        <f>SUM(K11:K19)</f>
        <v>0</v>
      </c>
      <c r="L10" s="43">
        <f>SUM(L11:L19)</f>
        <v>0</v>
      </c>
      <c r="M10" s="23">
        <f>SUM(M11:M20)</f>
        <v>1800000</v>
      </c>
      <c r="N10" s="23">
        <f>J10+K10+L10</f>
        <v>0</v>
      </c>
      <c r="O10" s="100"/>
      <c r="P10" s="43">
        <f>SUM(P11:P19)</f>
        <v>14</v>
      </c>
      <c r="Q10" s="43">
        <f>SUM(Q11:Q19)</f>
        <v>0</v>
      </c>
      <c r="R10" s="43">
        <f>SUM(R11:R19)</f>
        <v>0</v>
      </c>
      <c r="S10" s="23">
        <f>SUM(S11:S20)</f>
        <v>4800000</v>
      </c>
      <c r="T10" s="72">
        <f>P10+Q10+R10</f>
        <v>14</v>
      </c>
      <c r="U10" s="88"/>
      <c r="V10" s="43">
        <f>SUM(V11:V19)</f>
        <v>6</v>
      </c>
      <c r="W10" s="43">
        <f>SUM(W11:W19)</f>
        <v>54</v>
      </c>
      <c r="X10" s="43">
        <f>SUM(X11:X19)</f>
        <v>0</v>
      </c>
      <c r="Y10" s="23">
        <f>SUM(Y11:Y20)</f>
        <v>6000000</v>
      </c>
      <c r="Z10" s="24">
        <f>V10+W10+X10</f>
        <v>60</v>
      </c>
      <c r="AA10" s="88"/>
      <c r="AB10" s="43">
        <f>SUM(AB11:AB22)</f>
        <v>10</v>
      </c>
      <c r="AC10" s="43">
        <f>SUM(AC11:AC19)</f>
        <v>50</v>
      </c>
      <c r="AD10" s="43">
        <f>SUM(AD11:AD19)</f>
        <v>0</v>
      </c>
      <c r="AE10" s="23">
        <f>SUM(AE11:AE22)</f>
        <v>8944000</v>
      </c>
      <c r="AF10" s="24">
        <f>AB10+AC10+AD10</f>
        <v>60</v>
      </c>
      <c r="AG10" s="88"/>
      <c r="AH10" s="43">
        <f>SUM(AH11:AH19)</f>
        <v>6</v>
      </c>
      <c r="AI10" s="43">
        <f>SUM(AI11:AI19)</f>
        <v>29</v>
      </c>
      <c r="AJ10" s="43">
        <f>SUM(AJ11:AJ19)</f>
        <v>0</v>
      </c>
      <c r="AK10" s="23">
        <f>SUM(AK11:AK20)</f>
        <v>3500000</v>
      </c>
      <c r="AL10" s="24">
        <f>AH10+AI10+AJ10</f>
        <v>35</v>
      </c>
      <c r="AM10" s="88"/>
      <c r="AN10" s="43">
        <f>SUM(AN11:AN19)</f>
        <v>0</v>
      </c>
      <c r="AO10" s="43">
        <f>SUM(AO11:AO19)</f>
        <v>12</v>
      </c>
      <c r="AP10" s="43">
        <f>SUM(AP11:AP19)</f>
        <v>0</v>
      </c>
      <c r="AQ10" s="23">
        <f>SUM(AQ11:AQ20)</f>
        <v>0</v>
      </c>
      <c r="AR10" s="24">
        <f>AN10+AO10+AP10</f>
        <v>12</v>
      </c>
      <c r="AS10" s="88"/>
      <c r="AT10" s="43">
        <f>SUM(AT11:AT19)</f>
        <v>0</v>
      </c>
      <c r="AU10" s="43">
        <f>SUM(AU11:AU19)</f>
        <v>24</v>
      </c>
      <c r="AV10" s="43">
        <f>SUM(AV11:AV19)</f>
        <v>0</v>
      </c>
      <c r="AW10" s="23">
        <f>SUM(AW11:AW20)</f>
        <v>0</v>
      </c>
      <c r="AX10" s="24">
        <f>AT10+AU10+AV10</f>
        <v>24</v>
      </c>
      <c r="AY10" s="88"/>
      <c r="AZ10" s="43">
        <f>SUM(AZ11:AZ19)</f>
        <v>0</v>
      </c>
      <c r="BA10" s="43">
        <f>SUM(BA11:BA19)</f>
        <v>44</v>
      </c>
      <c r="BB10" s="43">
        <f>SUM(BB11:BB19)</f>
        <v>0</v>
      </c>
      <c r="BC10" s="23">
        <f>SUM(BC11:BC20)</f>
        <v>0</v>
      </c>
      <c r="BD10" s="24">
        <f>AZ10+BA10+BB10</f>
        <v>44</v>
      </c>
      <c r="BE10" s="88"/>
      <c r="BF10" s="43">
        <f>SUM(BF11:BF19)</f>
        <v>0</v>
      </c>
      <c r="BG10" s="43">
        <f>SUM(BG11:BG19)</f>
        <v>44</v>
      </c>
      <c r="BH10" s="43">
        <f>SUM(BH11:BH19)</f>
        <v>0</v>
      </c>
      <c r="BI10" s="23">
        <f>SUM(BI11:BI20)</f>
        <v>0</v>
      </c>
      <c r="BJ10" s="24">
        <f>BF10+BG10+BH10</f>
        <v>44</v>
      </c>
      <c r="BK10" s="88"/>
      <c r="BL10" s="43">
        <f>SUM(BL11:BL19)</f>
        <v>0</v>
      </c>
      <c r="BM10" s="43">
        <f>SUM(BM11:BM19)</f>
        <v>16</v>
      </c>
      <c r="BN10" s="43">
        <f>SUM(BN11:BN19)</f>
        <v>0</v>
      </c>
      <c r="BO10" s="23">
        <f>SUM(BO11:BO20)</f>
        <v>0</v>
      </c>
      <c r="BP10" s="24">
        <f>BL10+BM10+BN10</f>
        <v>16</v>
      </c>
      <c r="BQ10" s="88"/>
      <c r="BR10" s="43">
        <f>SUM(BR11:BR19)</f>
        <v>0</v>
      </c>
      <c r="BS10" s="43">
        <f>SUM(BS11:BS19)</f>
        <v>0</v>
      </c>
      <c r="BT10" s="43">
        <f>SUM(BT11:BT19)</f>
        <v>0</v>
      </c>
      <c r="BU10" s="23">
        <f>SUM(BU11:BU22)</f>
        <v>3376000</v>
      </c>
      <c r="BV10" s="72">
        <f>BR10+BS10+BT10</f>
        <v>0</v>
      </c>
      <c r="BW10" s="100"/>
      <c r="BX10" s="43">
        <f>SUM(BX11:BX22)</f>
        <v>6</v>
      </c>
      <c r="BY10" s="43">
        <f>SUM(BY11:BY22)</f>
        <v>0</v>
      </c>
      <c r="BZ10" s="43">
        <f>SUM(BZ11:BZ22)</f>
        <v>12</v>
      </c>
      <c r="CA10" s="23">
        <f>SUM(CA11:CA22)</f>
        <v>1648000</v>
      </c>
      <c r="CB10" s="23">
        <f>BX10+BY10+BZ10</f>
        <v>18</v>
      </c>
    </row>
    <row r="11" spans="1:80" s="1" customFormat="1" ht="23.25" customHeight="1" x14ac:dyDescent="0.35">
      <c r="A11" s="25" t="s">
        <v>65</v>
      </c>
      <c r="B11" s="42" t="s">
        <v>66</v>
      </c>
      <c r="C11" s="94">
        <v>60000</v>
      </c>
      <c r="D11" s="4"/>
      <c r="E11" s="4"/>
      <c r="F11" s="4"/>
      <c r="G11" s="27"/>
      <c r="H11" s="286" t="s">
        <v>67</v>
      </c>
      <c r="I11" s="80">
        <v>60000</v>
      </c>
      <c r="J11" s="4"/>
      <c r="K11" s="4"/>
      <c r="L11" s="4"/>
      <c r="M11" s="3"/>
      <c r="N11" s="302" t="s">
        <v>67</v>
      </c>
      <c r="O11" s="101">
        <v>60000</v>
      </c>
      <c r="P11" s="73"/>
      <c r="Q11" s="4"/>
      <c r="R11" s="4"/>
      <c r="S11" s="3"/>
      <c r="T11" s="292" t="s">
        <v>68</v>
      </c>
      <c r="U11" s="89">
        <v>60000</v>
      </c>
      <c r="V11" s="73"/>
      <c r="W11" s="73"/>
      <c r="X11" s="4"/>
      <c r="Y11" s="3"/>
      <c r="Z11" s="310" t="s">
        <v>69</v>
      </c>
      <c r="AA11" s="89">
        <v>60000</v>
      </c>
      <c r="AB11" s="73"/>
      <c r="AC11" s="74"/>
      <c r="AD11" s="4"/>
      <c r="AE11" s="3"/>
      <c r="AF11" s="290" t="s">
        <v>68</v>
      </c>
      <c r="AG11" s="89">
        <v>60000</v>
      </c>
      <c r="AH11" s="73"/>
      <c r="AI11" s="117"/>
      <c r="AJ11" s="4"/>
      <c r="AK11" s="3"/>
      <c r="AL11" s="290" t="s">
        <v>68</v>
      </c>
      <c r="AM11" s="89">
        <v>60000</v>
      </c>
      <c r="AN11" s="74"/>
      <c r="AO11" s="74"/>
      <c r="AP11" s="74"/>
      <c r="AQ11" s="3">
        <f t="shared" ref="AQ11:AQ17" si="0">AM11*(AN11+AO11+AP11)</f>
        <v>0</v>
      </c>
      <c r="AR11" s="290" t="s">
        <v>70</v>
      </c>
      <c r="AS11" s="89">
        <v>60000</v>
      </c>
      <c r="AT11" s="73"/>
      <c r="AU11" s="74"/>
      <c r="AV11" s="4"/>
      <c r="AW11" s="3">
        <f t="shared" ref="AW11:AW17" si="1">AS11*(AT11+AU11+AV11)</f>
        <v>0</v>
      </c>
      <c r="AX11" s="290" t="s">
        <v>71</v>
      </c>
      <c r="AY11" s="89">
        <v>60000</v>
      </c>
      <c r="AZ11" s="74"/>
      <c r="BA11" s="74"/>
      <c r="BB11" s="4"/>
      <c r="BC11" s="3">
        <f t="shared" ref="BC11:BC17" si="2">AY11*(AZ11+BA11+BB11)</f>
        <v>0</v>
      </c>
      <c r="BD11" s="290" t="s">
        <v>71</v>
      </c>
      <c r="BE11" s="89">
        <v>60000</v>
      </c>
      <c r="BF11" s="74"/>
      <c r="BG11" s="73"/>
      <c r="BH11" s="4"/>
      <c r="BI11" s="3">
        <f t="shared" ref="BI11:BI17" si="3">BE11*(BF11+BG11+BH11)</f>
        <v>0</v>
      </c>
      <c r="BJ11" s="290" t="s">
        <v>71</v>
      </c>
      <c r="BK11" s="89">
        <v>60000</v>
      </c>
      <c r="BL11" s="73"/>
      <c r="BM11" s="73"/>
      <c r="BN11" s="4"/>
      <c r="BO11" s="3">
        <f t="shared" ref="BO11:BO17" si="4">BK11*(BL11+BM11+BN11)</f>
        <v>0</v>
      </c>
      <c r="BP11" s="290" t="s">
        <v>72</v>
      </c>
      <c r="BQ11" s="89">
        <v>60000</v>
      </c>
      <c r="BR11" s="73"/>
      <c r="BS11" s="73"/>
      <c r="BT11" s="4"/>
      <c r="BU11" s="3">
        <f t="shared" ref="BU11:BU17" si="5">BQ11*(BR11+BS11+BT11)</f>
        <v>0</v>
      </c>
      <c r="BV11" s="292" t="s">
        <v>72</v>
      </c>
      <c r="BW11" s="101">
        <v>60000</v>
      </c>
      <c r="BX11" s="73"/>
      <c r="BY11" s="73"/>
      <c r="BZ11" s="4"/>
      <c r="CA11" s="49">
        <f t="shared" ref="CA11:CA17" si="6">BW11*(BX11+BY11+BZ11)</f>
        <v>0</v>
      </c>
      <c r="CB11" s="302" t="s">
        <v>72</v>
      </c>
    </row>
    <row r="12" spans="1:80" s="1" customFormat="1" ht="23.25" customHeight="1" x14ac:dyDescent="0.35">
      <c r="A12" s="25" t="s">
        <v>73</v>
      </c>
      <c r="B12" s="42" t="s">
        <v>74</v>
      </c>
      <c r="C12" s="94"/>
      <c r="D12" s="4"/>
      <c r="E12" s="4"/>
      <c r="F12" s="4"/>
      <c r="G12" s="27"/>
      <c r="H12" s="287"/>
      <c r="I12" s="80"/>
      <c r="J12" s="240"/>
      <c r="K12" s="240"/>
      <c r="L12" s="4"/>
      <c r="M12" s="3"/>
      <c r="N12" s="303"/>
      <c r="O12" s="101"/>
      <c r="P12" s="74"/>
      <c r="Q12" s="4"/>
      <c r="R12" s="4"/>
      <c r="S12" s="3"/>
      <c r="T12" s="293"/>
      <c r="U12" s="89"/>
      <c r="V12" s="74"/>
      <c r="W12" s="74">
        <f>27+14</f>
        <v>41</v>
      </c>
      <c r="X12" s="4"/>
      <c r="Y12" s="3"/>
      <c r="Z12" s="287"/>
      <c r="AA12" s="89"/>
      <c r="AB12" s="74"/>
      <c r="AC12" s="74"/>
      <c r="AD12" s="4"/>
      <c r="AE12" s="3"/>
      <c r="AF12" s="287"/>
      <c r="AG12" s="89"/>
      <c r="AH12" s="241"/>
      <c r="AI12" s="241">
        <f>3+7+7</f>
        <v>17</v>
      </c>
      <c r="AJ12" s="4"/>
      <c r="AK12" s="3"/>
      <c r="AL12" s="287"/>
      <c r="AM12" s="89"/>
      <c r="AN12" s="74"/>
      <c r="AO12" s="74"/>
      <c r="AP12" s="74"/>
      <c r="AQ12" s="3">
        <f t="shared" si="0"/>
        <v>0</v>
      </c>
      <c r="AR12" s="287"/>
      <c r="AS12" s="89"/>
      <c r="AT12" s="74"/>
      <c r="AU12" s="74">
        <f>12+12</f>
        <v>24</v>
      </c>
      <c r="AV12" s="4"/>
      <c r="AW12" s="3">
        <f t="shared" si="1"/>
        <v>0</v>
      </c>
      <c r="AX12" s="287"/>
      <c r="AY12" s="89"/>
      <c r="AZ12" s="74"/>
      <c r="BA12" s="74">
        <f>10+10+11</f>
        <v>31</v>
      </c>
      <c r="BB12" s="4"/>
      <c r="BC12" s="3">
        <f t="shared" si="2"/>
        <v>0</v>
      </c>
      <c r="BD12" s="287"/>
      <c r="BE12" s="89"/>
      <c r="BF12" s="74"/>
      <c r="BG12" s="73"/>
      <c r="BH12" s="4"/>
      <c r="BI12" s="3">
        <f t="shared" si="3"/>
        <v>0</v>
      </c>
      <c r="BJ12" s="287"/>
      <c r="BK12" s="89"/>
      <c r="BL12" s="73"/>
      <c r="BM12" s="73"/>
      <c r="BN12" s="4"/>
      <c r="BO12" s="3">
        <f t="shared" si="4"/>
        <v>0</v>
      </c>
      <c r="BP12" s="287"/>
      <c r="BQ12" s="89"/>
      <c r="BR12" s="73"/>
      <c r="BS12" s="73"/>
      <c r="BT12" s="4"/>
      <c r="BU12" s="3">
        <f t="shared" si="5"/>
        <v>0</v>
      </c>
      <c r="BV12" s="293"/>
      <c r="BW12" s="101"/>
      <c r="BX12" s="73"/>
      <c r="BY12" s="73"/>
      <c r="BZ12" s="73"/>
      <c r="CA12" s="49">
        <f t="shared" si="6"/>
        <v>0</v>
      </c>
      <c r="CB12" s="303"/>
    </row>
    <row r="13" spans="1:80" s="1" customFormat="1" ht="23.25" customHeight="1" x14ac:dyDescent="0.35">
      <c r="A13" s="25" t="s">
        <v>75</v>
      </c>
      <c r="B13" s="42" t="s">
        <v>76</v>
      </c>
      <c r="C13" s="94"/>
      <c r="D13" s="4"/>
      <c r="E13" s="4"/>
      <c r="F13" s="4"/>
      <c r="G13" s="27"/>
      <c r="H13" s="287"/>
      <c r="I13" s="80"/>
      <c r="J13" s="240"/>
      <c r="K13" s="240"/>
      <c r="L13" s="4"/>
      <c r="M13" s="3"/>
      <c r="N13" s="303"/>
      <c r="O13" s="101"/>
      <c r="P13" s="74"/>
      <c r="Q13" s="4"/>
      <c r="R13" s="4"/>
      <c r="S13" s="3"/>
      <c r="T13" s="293"/>
      <c r="U13" s="89"/>
      <c r="V13" s="74"/>
      <c r="W13" s="74">
        <v>13</v>
      </c>
      <c r="X13" s="4"/>
      <c r="Y13" s="3"/>
      <c r="Z13" s="287"/>
      <c r="AA13" s="89"/>
      <c r="AB13" s="74"/>
      <c r="AC13" s="74">
        <v>12</v>
      </c>
      <c r="AD13" s="4"/>
      <c r="AE13" s="3"/>
      <c r="AF13" s="287"/>
      <c r="AG13" s="89"/>
      <c r="AH13" s="242"/>
      <c r="AI13" s="242">
        <v>6</v>
      </c>
      <c r="AJ13" s="4"/>
      <c r="AK13" s="3"/>
      <c r="AL13" s="287"/>
      <c r="AM13" s="89"/>
      <c r="AN13" s="74"/>
      <c r="AO13" s="74"/>
      <c r="AP13" s="74"/>
      <c r="AQ13" s="3">
        <f t="shared" si="0"/>
        <v>0</v>
      </c>
      <c r="AR13" s="287"/>
      <c r="AS13" s="89"/>
      <c r="AT13" s="74"/>
      <c r="AU13" s="74"/>
      <c r="AV13" s="4"/>
      <c r="AW13" s="3">
        <f t="shared" si="1"/>
        <v>0</v>
      </c>
      <c r="AX13" s="287"/>
      <c r="AY13" s="89"/>
      <c r="AZ13" s="74"/>
      <c r="BA13" s="74"/>
      <c r="BB13" s="4"/>
      <c r="BC13" s="3">
        <f t="shared" si="2"/>
        <v>0</v>
      </c>
      <c r="BD13" s="287"/>
      <c r="BE13" s="89"/>
      <c r="BF13" s="74"/>
      <c r="BG13" s="73"/>
      <c r="BH13" s="4"/>
      <c r="BI13" s="3">
        <f t="shared" si="3"/>
        <v>0</v>
      </c>
      <c r="BJ13" s="287"/>
      <c r="BK13" s="89"/>
      <c r="BL13" s="73"/>
      <c r="BM13" s="73">
        <v>8</v>
      </c>
      <c r="BN13" s="4"/>
      <c r="BO13" s="3">
        <f t="shared" si="4"/>
        <v>0</v>
      </c>
      <c r="BP13" s="287"/>
      <c r="BQ13" s="89"/>
      <c r="BR13" s="73"/>
      <c r="BS13" s="73"/>
      <c r="BT13" s="4"/>
      <c r="BU13" s="3">
        <f t="shared" si="5"/>
        <v>0</v>
      </c>
      <c r="BV13" s="293"/>
      <c r="BW13" s="101"/>
      <c r="BX13" s="73"/>
      <c r="BY13" s="73"/>
      <c r="BZ13" s="73"/>
      <c r="CA13" s="49">
        <f t="shared" si="6"/>
        <v>0</v>
      </c>
      <c r="CB13" s="303"/>
    </row>
    <row r="14" spans="1:80" s="1" customFormat="1" ht="23.25" customHeight="1" x14ac:dyDescent="0.35">
      <c r="A14" s="25" t="s">
        <v>77</v>
      </c>
      <c r="B14" s="42" t="s">
        <v>78</v>
      </c>
      <c r="C14" s="94"/>
      <c r="D14" s="4"/>
      <c r="E14" s="4"/>
      <c r="F14" s="4"/>
      <c r="G14" s="27"/>
      <c r="H14" s="287"/>
      <c r="I14" s="80"/>
      <c r="J14" s="240"/>
      <c r="K14" s="240"/>
      <c r="L14" s="4"/>
      <c r="M14" s="3"/>
      <c r="N14" s="303"/>
      <c r="O14" s="101"/>
      <c r="P14" s="74"/>
      <c r="Q14" s="4"/>
      <c r="R14" s="4"/>
      <c r="S14" s="3"/>
      <c r="T14" s="293"/>
      <c r="U14" s="89"/>
      <c r="V14" s="74"/>
      <c r="W14" s="74"/>
      <c r="X14" s="4"/>
      <c r="Y14" s="3"/>
      <c r="Z14" s="287"/>
      <c r="AA14" s="89"/>
      <c r="AB14" s="74"/>
      <c r="AC14" s="74">
        <v>26</v>
      </c>
      <c r="AD14" s="4"/>
      <c r="AE14" s="3"/>
      <c r="AF14" s="287"/>
      <c r="AG14" s="89"/>
      <c r="AH14" s="242"/>
      <c r="AI14" s="242"/>
      <c r="AJ14" s="4"/>
      <c r="AK14" s="3"/>
      <c r="AL14" s="287"/>
      <c r="AM14" s="89"/>
      <c r="AN14" s="74"/>
      <c r="AO14" s="74">
        <v>12</v>
      </c>
      <c r="AP14" s="74"/>
      <c r="AQ14" s="3">
        <f t="shared" si="0"/>
        <v>0</v>
      </c>
      <c r="AR14" s="287"/>
      <c r="AS14" s="89"/>
      <c r="AT14" s="74"/>
      <c r="AU14" s="74"/>
      <c r="AV14" s="4"/>
      <c r="AW14" s="3">
        <f t="shared" si="1"/>
        <v>0</v>
      </c>
      <c r="AX14" s="287"/>
      <c r="AY14" s="89"/>
      <c r="AZ14" s="74"/>
      <c r="BA14" s="74">
        <v>13</v>
      </c>
      <c r="BB14" s="4"/>
      <c r="BC14" s="3">
        <f t="shared" si="2"/>
        <v>0</v>
      </c>
      <c r="BD14" s="287"/>
      <c r="BE14" s="89"/>
      <c r="BF14" s="74"/>
      <c r="BG14" s="74">
        <v>30</v>
      </c>
      <c r="BH14" s="4"/>
      <c r="BI14" s="3">
        <f t="shared" si="3"/>
        <v>0</v>
      </c>
      <c r="BJ14" s="287"/>
      <c r="BK14" s="89"/>
      <c r="BL14" s="73"/>
      <c r="BM14" s="73"/>
      <c r="BN14" s="4"/>
      <c r="BO14" s="3">
        <f t="shared" si="4"/>
        <v>0</v>
      </c>
      <c r="BP14" s="287"/>
      <c r="BQ14" s="89"/>
      <c r="BR14" s="73"/>
      <c r="BS14" s="73"/>
      <c r="BT14" s="4"/>
      <c r="BU14" s="3">
        <f t="shared" si="5"/>
        <v>0</v>
      </c>
      <c r="BV14" s="293"/>
      <c r="BW14" s="101"/>
      <c r="BX14" s="73"/>
      <c r="BY14" s="73"/>
      <c r="BZ14" s="73"/>
      <c r="CA14" s="49">
        <f t="shared" si="6"/>
        <v>0</v>
      </c>
      <c r="CB14" s="303"/>
    </row>
    <row r="15" spans="1:80" s="1" customFormat="1" ht="23.25" customHeight="1" x14ac:dyDescent="0.35">
      <c r="A15" s="25" t="s">
        <v>79</v>
      </c>
      <c r="B15" s="42" t="s">
        <v>80</v>
      </c>
      <c r="C15" s="94"/>
      <c r="D15" s="4"/>
      <c r="E15" s="4"/>
      <c r="F15" s="4"/>
      <c r="G15" s="27"/>
      <c r="H15" s="287"/>
      <c r="I15" s="80"/>
      <c r="J15" s="240"/>
      <c r="K15" s="240"/>
      <c r="L15" s="4"/>
      <c r="M15" s="3"/>
      <c r="N15" s="303"/>
      <c r="O15" s="101"/>
      <c r="P15" s="74"/>
      <c r="Q15" s="4"/>
      <c r="R15" s="4"/>
      <c r="S15" s="3"/>
      <c r="T15" s="293"/>
      <c r="U15" s="89"/>
      <c r="V15" s="74"/>
      <c r="W15" s="74"/>
      <c r="X15" s="4"/>
      <c r="Y15" s="3"/>
      <c r="Z15" s="287"/>
      <c r="AA15" s="89"/>
      <c r="AB15" s="74"/>
      <c r="AC15" s="74">
        <v>12</v>
      </c>
      <c r="AD15" s="4"/>
      <c r="AE15" s="3"/>
      <c r="AF15" s="287"/>
      <c r="AG15" s="89"/>
      <c r="AH15" s="242"/>
      <c r="AI15" s="242">
        <v>6</v>
      </c>
      <c r="AJ15" s="4"/>
      <c r="AK15" s="3"/>
      <c r="AL15" s="287"/>
      <c r="AM15" s="89"/>
      <c r="AN15" s="74"/>
      <c r="AO15" s="74"/>
      <c r="AP15" s="74"/>
      <c r="AQ15" s="3">
        <f t="shared" si="0"/>
        <v>0</v>
      </c>
      <c r="AR15" s="287"/>
      <c r="AS15" s="89"/>
      <c r="AT15" s="74"/>
      <c r="AU15" s="74"/>
      <c r="AV15" s="4"/>
      <c r="AW15" s="3">
        <f t="shared" si="1"/>
        <v>0</v>
      </c>
      <c r="AX15" s="287"/>
      <c r="AY15" s="89"/>
      <c r="AZ15" s="74"/>
      <c r="BA15" s="74"/>
      <c r="BB15" s="4"/>
      <c r="BC15" s="3">
        <f t="shared" si="2"/>
        <v>0</v>
      </c>
      <c r="BD15" s="287"/>
      <c r="BE15" s="89"/>
      <c r="BF15" s="74"/>
      <c r="BG15" s="74">
        <v>14</v>
      </c>
      <c r="BH15" s="4"/>
      <c r="BI15" s="3">
        <f t="shared" si="3"/>
        <v>0</v>
      </c>
      <c r="BJ15" s="287"/>
      <c r="BK15" s="89"/>
      <c r="BL15" s="73"/>
      <c r="BM15" s="73">
        <v>8</v>
      </c>
      <c r="BN15" s="4"/>
      <c r="BO15" s="3">
        <f t="shared" si="4"/>
        <v>0</v>
      </c>
      <c r="BP15" s="287"/>
      <c r="BQ15" s="89"/>
      <c r="BR15" s="73"/>
      <c r="BS15" s="73"/>
      <c r="BT15" s="4"/>
      <c r="BU15" s="3">
        <f t="shared" si="5"/>
        <v>0</v>
      </c>
      <c r="BV15" s="293"/>
      <c r="BW15" s="101"/>
      <c r="BX15" s="73"/>
      <c r="BY15" s="73"/>
      <c r="BZ15" s="73"/>
      <c r="CA15" s="49">
        <f t="shared" si="6"/>
        <v>0</v>
      </c>
      <c r="CB15" s="303"/>
    </row>
    <row r="16" spans="1:80" s="15" customFormat="1" ht="23.25" customHeight="1" x14ac:dyDescent="0.35">
      <c r="A16" s="25" t="s">
        <v>81</v>
      </c>
      <c r="B16" s="42" t="s">
        <v>82</v>
      </c>
      <c r="C16" s="94">
        <v>100000</v>
      </c>
      <c r="D16" s="4"/>
      <c r="E16" s="4"/>
      <c r="F16" s="4"/>
      <c r="G16" s="27"/>
      <c r="H16" s="287"/>
      <c r="I16" s="80">
        <v>100000</v>
      </c>
      <c r="J16" s="240"/>
      <c r="K16" s="240"/>
      <c r="L16" s="4"/>
      <c r="M16" s="3"/>
      <c r="N16" s="303"/>
      <c r="O16" s="101">
        <v>100000</v>
      </c>
      <c r="P16" s="74"/>
      <c r="Q16" s="4"/>
      <c r="R16" s="4"/>
      <c r="S16" s="3"/>
      <c r="T16" s="293"/>
      <c r="U16" s="89">
        <v>100000</v>
      </c>
      <c r="V16" s="74">
        <v>6</v>
      </c>
      <c r="W16" s="74"/>
      <c r="X16" s="4"/>
      <c r="Y16" s="3"/>
      <c r="Z16" s="287"/>
      <c r="AA16" s="89">
        <v>100000</v>
      </c>
      <c r="AB16" s="74">
        <v>10</v>
      </c>
      <c r="AC16" s="74"/>
      <c r="AD16" s="4"/>
      <c r="AE16" s="3"/>
      <c r="AF16" s="287"/>
      <c r="AG16" s="89">
        <v>100000</v>
      </c>
      <c r="AH16" s="242">
        <v>6</v>
      </c>
      <c r="AI16" s="242"/>
      <c r="AJ16" s="4"/>
      <c r="AK16" s="3"/>
      <c r="AL16" s="287"/>
      <c r="AM16" s="89">
        <v>100000</v>
      </c>
      <c r="AN16" s="74"/>
      <c r="AO16" s="74"/>
      <c r="AP16" s="74"/>
      <c r="AQ16" s="3">
        <f t="shared" si="0"/>
        <v>0</v>
      </c>
      <c r="AR16" s="287"/>
      <c r="AS16" s="89">
        <v>100000</v>
      </c>
      <c r="AT16" s="74"/>
      <c r="AU16" s="74"/>
      <c r="AV16" s="4"/>
      <c r="AW16" s="3">
        <f t="shared" si="1"/>
        <v>0</v>
      </c>
      <c r="AX16" s="287"/>
      <c r="AY16" s="89">
        <v>100000</v>
      </c>
      <c r="AZ16" s="74"/>
      <c r="BA16" s="74"/>
      <c r="BB16" s="4"/>
      <c r="BC16" s="3">
        <f t="shared" si="2"/>
        <v>0</v>
      </c>
      <c r="BD16" s="287"/>
      <c r="BE16" s="89">
        <v>100000</v>
      </c>
      <c r="BF16" s="118"/>
      <c r="BG16" s="118"/>
      <c r="BH16" s="4"/>
      <c r="BI16" s="3">
        <f t="shared" si="3"/>
        <v>0</v>
      </c>
      <c r="BJ16" s="287"/>
      <c r="BK16" s="89">
        <v>100000</v>
      </c>
      <c r="BL16" s="73"/>
      <c r="BM16" s="73"/>
      <c r="BN16" s="4"/>
      <c r="BO16" s="3">
        <f t="shared" si="4"/>
        <v>0</v>
      </c>
      <c r="BP16" s="287"/>
      <c r="BQ16" s="89">
        <v>100000</v>
      </c>
      <c r="BR16" s="73"/>
      <c r="BS16" s="73"/>
      <c r="BT16" s="4"/>
      <c r="BU16" s="3">
        <f t="shared" si="5"/>
        <v>0</v>
      </c>
      <c r="BV16" s="293"/>
      <c r="BW16" s="101">
        <v>100000</v>
      </c>
      <c r="BX16" s="73">
        <v>6</v>
      </c>
      <c r="BY16" s="73"/>
      <c r="BZ16" s="4"/>
      <c r="CA16" s="49">
        <f t="shared" si="6"/>
        <v>600000</v>
      </c>
      <c r="CB16" s="303"/>
    </row>
    <row r="17" spans="1:80" s="1" customFormat="1" ht="23.25" customHeight="1" x14ac:dyDescent="0.35">
      <c r="A17" s="25" t="s">
        <v>83</v>
      </c>
      <c r="B17" s="42" t="s">
        <v>84</v>
      </c>
      <c r="C17" s="94"/>
      <c r="D17" s="31"/>
      <c r="E17" s="31"/>
      <c r="F17" s="31"/>
      <c r="G17" s="27"/>
      <c r="H17" s="288"/>
      <c r="I17" s="80"/>
      <c r="J17" s="31"/>
      <c r="K17" s="31"/>
      <c r="L17" s="31"/>
      <c r="M17" s="3"/>
      <c r="N17" s="304"/>
      <c r="O17" s="101"/>
      <c r="P17" s="73"/>
      <c r="Q17" s="31"/>
      <c r="R17" s="31"/>
      <c r="S17" s="3"/>
      <c r="T17" s="294"/>
      <c r="U17" s="89"/>
      <c r="W17" s="74"/>
      <c r="X17" s="31"/>
      <c r="Y17" s="3"/>
      <c r="Z17" s="288"/>
      <c r="AA17" s="89"/>
      <c r="AB17" s="73"/>
      <c r="AC17" s="74"/>
      <c r="AD17" s="31"/>
      <c r="AE17" s="3"/>
      <c r="AF17" s="288"/>
      <c r="AG17" s="89"/>
      <c r="AH17" s="243"/>
      <c r="AI17" s="244"/>
      <c r="AJ17" s="31"/>
      <c r="AK17" s="3"/>
      <c r="AL17" s="288"/>
      <c r="AM17" s="89"/>
      <c r="AN17" s="74"/>
      <c r="AO17" s="74"/>
      <c r="AP17" s="74"/>
      <c r="AQ17" s="3">
        <f t="shared" si="0"/>
        <v>0</v>
      </c>
      <c r="AR17" s="288"/>
      <c r="AS17" s="89"/>
      <c r="AT17" s="73"/>
      <c r="AU17" s="74"/>
      <c r="AV17" s="31"/>
      <c r="AW17" s="3">
        <f t="shared" si="1"/>
        <v>0</v>
      </c>
      <c r="AX17" s="288"/>
      <c r="AY17" s="89">
        <v>70000</v>
      </c>
      <c r="AZ17" s="146"/>
      <c r="BA17" s="74"/>
      <c r="BB17" s="31"/>
      <c r="BC17" s="3">
        <f t="shared" si="2"/>
        <v>0</v>
      </c>
      <c r="BD17" s="288"/>
      <c r="BE17" s="89"/>
      <c r="BF17" s="74"/>
      <c r="BG17" s="74"/>
      <c r="BH17" s="31"/>
      <c r="BI17" s="3">
        <f t="shared" si="3"/>
        <v>0</v>
      </c>
      <c r="BJ17" s="288"/>
      <c r="BK17" s="89"/>
      <c r="BL17" s="73"/>
      <c r="BM17" s="74"/>
      <c r="BN17" s="31"/>
      <c r="BO17" s="3">
        <f t="shared" si="4"/>
        <v>0</v>
      </c>
      <c r="BP17" s="288"/>
      <c r="BQ17" s="89"/>
      <c r="BR17" s="73"/>
      <c r="BS17" s="74"/>
      <c r="BT17" s="31"/>
      <c r="BU17" s="3">
        <f t="shared" si="5"/>
        <v>0</v>
      </c>
      <c r="BV17" s="294"/>
      <c r="BW17" s="101"/>
      <c r="BX17" s="73"/>
      <c r="BY17" s="74"/>
      <c r="BZ17" s="31"/>
      <c r="CA17" s="49">
        <f t="shared" si="6"/>
        <v>0</v>
      </c>
      <c r="CB17" s="304"/>
    </row>
    <row r="18" spans="1:80" s="1" customFormat="1" ht="23.25" customHeight="1" x14ac:dyDescent="0.35">
      <c r="A18" s="25" t="s">
        <v>85</v>
      </c>
      <c r="B18" s="42" t="s">
        <v>86</v>
      </c>
      <c r="C18" s="94"/>
      <c r="D18" s="31"/>
      <c r="E18" s="31"/>
      <c r="F18" s="31"/>
      <c r="G18" s="27"/>
      <c r="H18" s="143"/>
      <c r="I18" s="80"/>
      <c r="J18" s="31"/>
      <c r="K18" s="31"/>
      <c r="L18" s="31"/>
      <c r="M18" s="3"/>
      <c r="N18" s="142"/>
      <c r="O18" s="101"/>
      <c r="P18" s="73">
        <f>3.5*4</f>
        <v>14</v>
      </c>
      <c r="Q18" s="31"/>
      <c r="R18" s="31"/>
      <c r="S18" s="3"/>
      <c r="T18" s="144" t="s">
        <v>87</v>
      </c>
      <c r="U18" s="89"/>
      <c r="W18" s="74"/>
      <c r="X18" s="31"/>
      <c r="Y18" s="3"/>
      <c r="Z18" s="141"/>
      <c r="AA18" s="89"/>
      <c r="AB18" s="73"/>
      <c r="AC18" s="74"/>
      <c r="AD18" s="31"/>
      <c r="AE18" s="3"/>
      <c r="AF18" s="139"/>
      <c r="AG18" s="89"/>
      <c r="AH18" s="73"/>
      <c r="AI18" s="74"/>
      <c r="AJ18" s="31"/>
      <c r="AK18" s="3"/>
      <c r="AL18" s="139"/>
      <c r="AM18" s="89"/>
      <c r="AN18" s="74"/>
      <c r="AO18" s="74"/>
      <c r="AP18" s="74"/>
      <c r="AQ18" s="3"/>
      <c r="AR18" s="139"/>
      <c r="AS18" s="89"/>
      <c r="AT18" s="73"/>
      <c r="AU18" s="74"/>
      <c r="AV18" s="31"/>
      <c r="AW18" s="3"/>
      <c r="AX18" s="139"/>
      <c r="AY18" s="89"/>
      <c r="AZ18" s="73"/>
      <c r="BA18" s="74"/>
      <c r="BB18" s="31"/>
      <c r="BC18" s="3"/>
      <c r="BD18" s="139"/>
      <c r="BE18" s="89"/>
      <c r="BF18" s="74"/>
      <c r="BG18" s="74"/>
      <c r="BH18" s="31"/>
      <c r="BI18" s="3"/>
      <c r="BJ18" s="139"/>
      <c r="BK18" s="89"/>
      <c r="BL18" s="73"/>
      <c r="BM18" s="74"/>
      <c r="BN18" s="31"/>
      <c r="BO18" s="3"/>
      <c r="BP18" s="139"/>
      <c r="BQ18" s="89"/>
      <c r="BR18" s="73"/>
      <c r="BS18" s="74"/>
      <c r="BT18" s="31"/>
      <c r="BU18" s="3"/>
      <c r="BV18" s="140"/>
      <c r="BW18" s="101"/>
      <c r="BX18" s="73"/>
      <c r="BY18" s="74"/>
      <c r="BZ18" s="31"/>
      <c r="CA18" s="49"/>
      <c r="CB18" s="142"/>
    </row>
    <row r="19" spans="1:80" s="1" customFormat="1" ht="23.25" customHeight="1" x14ac:dyDescent="0.35">
      <c r="A19" s="25" t="s">
        <v>88</v>
      </c>
      <c r="B19" s="46" t="s">
        <v>89</v>
      </c>
      <c r="C19" s="95"/>
      <c r="D19" s="32"/>
      <c r="E19" s="32"/>
      <c r="F19" s="32"/>
      <c r="G19" s="27">
        <f>4800000</f>
        <v>4800000</v>
      </c>
      <c r="H19" s="137">
        <v>30</v>
      </c>
      <c r="I19" s="81"/>
      <c r="J19" s="50"/>
      <c r="K19" s="50"/>
      <c r="L19" s="50"/>
      <c r="M19" s="3">
        <f>4800000</f>
        <v>4800000</v>
      </c>
      <c r="N19" s="138">
        <v>30</v>
      </c>
      <c r="O19" s="102"/>
      <c r="P19" s="50"/>
      <c r="Q19" s="50"/>
      <c r="R19" s="50"/>
      <c r="S19" s="3">
        <f>4800000</f>
        <v>4800000</v>
      </c>
      <c r="T19" s="107">
        <v>48</v>
      </c>
      <c r="U19" s="90"/>
      <c r="V19" s="50"/>
      <c r="W19" s="50"/>
      <c r="X19" s="50"/>
      <c r="Y19" s="3">
        <f>4800000</f>
        <v>4800000</v>
      </c>
      <c r="Z19" s="113">
        <v>48</v>
      </c>
      <c r="AA19" s="90"/>
      <c r="AB19" s="50"/>
      <c r="AC19" s="50"/>
      <c r="AD19" s="50"/>
      <c r="AE19" s="3">
        <f>4800000</f>
        <v>4800000</v>
      </c>
      <c r="AF19" s="70">
        <v>48</v>
      </c>
      <c r="AG19" s="90"/>
      <c r="AH19" s="50"/>
      <c r="AI19" s="50"/>
      <c r="AJ19" s="50"/>
      <c r="AK19" s="3">
        <f>4800000</f>
        <v>4800000</v>
      </c>
      <c r="AL19" s="70">
        <v>48</v>
      </c>
      <c r="AM19" s="90"/>
      <c r="AN19" s="50"/>
      <c r="AO19" s="50"/>
      <c r="AP19" s="50"/>
      <c r="AQ19" s="3">
        <f>AM19*(AN19+AO19+AP19)</f>
        <v>0</v>
      </c>
      <c r="AR19" s="70"/>
      <c r="AS19" s="90"/>
      <c r="AT19" s="50"/>
      <c r="AU19" s="50"/>
      <c r="AV19" s="50"/>
      <c r="AW19" s="3">
        <f>AS19*(AT19+AU19+AV19)</f>
        <v>0</v>
      </c>
      <c r="AX19" s="70"/>
      <c r="AY19" s="90"/>
      <c r="AZ19" s="50"/>
      <c r="BA19" s="50"/>
      <c r="BB19" s="50"/>
      <c r="BC19" s="3">
        <f>AY19*(AZ19+BA19+BB19)</f>
        <v>0</v>
      </c>
      <c r="BD19" s="70"/>
      <c r="BE19" s="90"/>
      <c r="BF19" s="50"/>
      <c r="BG19" s="50"/>
      <c r="BH19" s="50"/>
      <c r="BI19" s="3">
        <f>BE19*(BF19+BG19+BH19)</f>
        <v>0</v>
      </c>
      <c r="BJ19" s="70"/>
      <c r="BK19" s="90"/>
      <c r="BL19" s="123"/>
      <c r="BM19" s="123"/>
      <c r="BN19" s="50"/>
      <c r="BO19" s="3">
        <f>BK19*(BL19+BM19+BN19)</f>
        <v>0</v>
      </c>
      <c r="BP19" s="70"/>
      <c r="BQ19" s="90"/>
      <c r="BR19" s="123"/>
      <c r="BS19" s="123"/>
      <c r="BT19" s="50"/>
      <c r="BU19" s="3">
        <f>BQ19*(BR19+BS19+BT19)</f>
        <v>0</v>
      </c>
      <c r="BV19" s="107"/>
      <c r="BW19" s="102"/>
      <c r="BX19" s="123"/>
      <c r="BY19" s="123"/>
      <c r="BZ19" s="50"/>
      <c r="CA19" s="3">
        <f>BW19*(BX19+BY19+BZ19)</f>
        <v>0</v>
      </c>
      <c r="CB19" s="52"/>
    </row>
    <row r="20" spans="1:80" s="1" customFormat="1" ht="23.25" customHeight="1" x14ac:dyDescent="0.35">
      <c r="A20" s="25" t="s">
        <v>90</v>
      </c>
      <c r="B20" s="46" t="s">
        <v>91</v>
      </c>
      <c r="C20" s="95">
        <v>100000</v>
      </c>
      <c r="D20" s="44">
        <f>D10-30</f>
        <v>-30</v>
      </c>
      <c r="E20" s="44"/>
      <c r="F20" s="44"/>
      <c r="G20" s="58">
        <f>D20*C20</f>
        <v>-3000000</v>
      </c>
      <c r="H20" s="64">
        <f>H10-H19</f>
        <v>-30</v>
      </c>
      <c r="I20" s="81">
        <v>100000</v>
      </c>
      <c r="J20" s="44">
        <f>J10-30</f>
        <v>-30</v>
      </c>
      <c r="K20" s="53"/>
      <c r="L20" s="53"/>
      <c r="M20" s="58">
        <f>I20*J20</f>
        <v>-3000000</v>
      </c>
      <c r="N20" s="52">
        <f>N10-N19</f>
        <v>-30</v>
      </c>
      <c r="O20" s="102">
        <v>100000</v>
      </c>
      <c r="P20" s="53"/>
      <c r="Q20" s="53"/>
      <c r="R20" s="53"/>
      <c r="S20" s="58"/>
      <c r="T20" s="107">
        <f>T10-T19</f>
        <v>-34</v>
      </c>
      <c r="U20" s="90">
        <v>100000</v>
      </c>
      <c r="V20" s="53"/>
      <c r="W20" s="53"/>
      <c r="X20" s="53"/>
      <c r="Y20" s="58">
        <f>U20*Z20</f>
        <v>1200000</v>
      </c>
      <c r="Z20" s="113">
        <f>Z10-Z19</f>
        <v>12</v>
      </c>
      <c r="AA20" s="90">
        <v>100000</v>
      </c>
      <c r="AB20" s="53"/>
      <c r="AC20" s="53"/>
      <c r="AD20" s="53"/>
      <c r="AE20" s="58">
        <f>AA20*AF20</f>
        <v>1200000</v>
      </c>
      <c r="AF20" s="70">
        <f>AF10-AF19</f>
        <v>12</v>
      </c>
      <c r="AG20" s="90">
        <v>100000</v>
      </c>
      <c r="AH20" s="53"/>
      <c r="AI20" s="53"/>
      <c r="AJ20" s="53"/>
      <c r="AK20" s="58">
        <f>AG20*AL20</f>
        <v>-1300000</v>
      </c>
      <c r="AL20" s="70">
        <f>AL10-AL19</f>
        <v>-13</v>
      </c>
      <c r="AM20" s="90">
        <v>100000</v>
      </c>
      <c r="AN20" s="53"/>
      <c r="AO20" s="53"/>
      <c r="AP20" s="53"/>
      <c r="AQ20" s="3">
        <f>AM20*(AN20+AO20+AP20)</f>
        <v>0</v>
      </c>
      <c r="AR20" s="70"/>
      <c r="AS20" s="90">
        <v>100000</v>
      </c>
      <c r="AT20" s="53"/>
      <c r="AU20" s="53"/>
      <c r="AV20" s="53"/>
      <c r="AW20" s="3">
        <f>AS20*(AT20+AU20+AV20)</f>
        <v>0</v>
      </c>
      <c r="AX20" s="70"/>
      <c r="AY20" s="90">
        <v>100000</v>
      </c>
      <c r="AZ20" s="53"/>
      <c r="BA20" s="53"/>
      <c r="BB20" s="53"/>
      <c r="BC20" s="3">
        <f>AY20*(AZ20+BA20+BB20)</f>
        <v>0</v>
      </c>
      <c r="BD20" s="70"/>
      <c r="BE20" s="90">
        <v>100000</v>
      </c>
      <c r="BF20" s="53"/>
      <c r="BG20" s="53"/>
      <c r="BH20" s="53"/>
      <c r="BI20" s="3">
        <f>BE20*(BF20+BG20+BH20)</f>
        <v>0</v>
      </c>
      <c r="BJ20" s="70"/>
      <c r="BK20" s="90">
        <v>100000</v>
      </c>
      <c r="BL20" s="124"/>
      <c r="BM20" s="124"/>
      <c r="BN20" s="53"/>
      <c r="BO20" s="3">
        <f>BK20*(BL20+BM20+BN20)</f>
        <v>0</v>
      </c>
      <c r="BP20" s="70"/>
      <c r="BQ20" s="90">
        <v>100000</v>
      </c>
      <c r="BR20" s="124"/>
      <c r="BS20" s="124"/>
      <c r="BT20" s="53"/>
      <c r="BU20" s="3">
        <f>BQ20*(BR20+BS20+BT20)</f>
        <v>0</v>
      </c>
      <c r="BV20" s="107"/>
      <c r="BW20" s="102">
        <v>100000</v>
      </c>
      <c r="BX20" s="124"/>
      <c r="BY20" s="124"/>
      <c r="BZ20" s="53"/>
      <c r="CA20" s="3">
        <f>BW20*(BX20+BY20+BZ20)</f>
        <v>0</v>
      </c>
      <c r="CB20" s="52"/>
    </row>
    <row r="21" spans="1:80" s="164" customFormat="1" ht="23.25" customHeight="1" x14ac:dyDescent="0.35">
      <c r="A21" s="155"/>
      <c r="B21" s="156" t="s">
        <v>92</v>
      </c>
      <c r="C21" s="157"/>
      <c r="D21" s="158"/>
      <c r="E21" s="158"/>
      <c r="F21" s="158"/>
      <c r="G21" s="52"/>
      <c r="H21" s="64"/>
      <c r="I21" s="159"/>
      <c r="J21" s="158"/>
      <c r="K21" s="160"/>
      <c r="L21" s="160"/>
      <c r="M21" s="52"/>
      <c r="N21" s="52"/>
      <c r="O21" s="161"/>
      <c r="P21" s="160"/>
      <c r="Q21" s="160"/>
      <c r="R21" s="160"/>
      <c r="S21" s="52"/>
      <c r="T21" s="107"/>
      <c r="U21" s="162"/>
      <c r="V21" s="160"/>
      <c r="W21" s="160"/>
      <c r="X21" s="160"/>
      <c r="Y21" s="52"/>
      <c r="Z21" s="113"/>
      <c r="AA21" s="162">
        <v>64000</v>
      </c>
      <c r="AB21" s="160"/>
      <c r="AC21" s="160"/>
      <c r="AD21" s="160">
        <v>16</v>
      </c>
      <c r="AE21" s="52">
        <f>AA21*AD21</f>
        <v>1024000</v>
      </c>
      <c r="AF21" s="70" t="s">
        <v>93</v>
      </c>
      <c r="AG21" s="162"/>
      <c r="AH21" s="160"/>
      <c r="AI21" s="160"/>
      <c r="AJ21" s="160"/>
      <c r="AK21" s="52"/>
      <c r="AL21" s="70"/>
      <c r="AM21" s="162"/>
      <c r="AN21" s="160"/>
      <c r="AO21" s="160"/>
      <c r="AP21" s="160"/>
      <c r="AQ21" s="52"/>
      <c r="AR21" s="70"/>
      <c r="AS21" s="162"/>
      <c r="AT21" s="160"/>
      <c r="AU21" s="160"/>
      <c r="AV21" s="160"/>
      <c r="AW21" s="52"/>
      <c r="AX21" s="70"/>
      <c r="AY21" s="162"/>
      <c r="AZ21" s="160"/>
      <c r="BA21" s="160"/>
      <c r="BB21" s="160"/>
      <c r="BC21" s="52"/>
      <c r="BD21" s="70"/>
      <c r="BE21" s="162"/>
      <c r="BF21" s="160"/>
      <c r="BG21" s="160"/>
      <c r="BH21" s="160"/>
      <c r="BI21" s="52"/>
      <c r="BJ21" s="70"/>
      <c r="BK21" s="162"/>
      <c r="BL21" s="163"/>
      <c r="BM21" s="163"/>
      <c r="BN21" s="160"/>
      <c r="BO21" s="52"/>
      <c r="BP21" s="70"/>
      <c r="BQ21" s="162">
        <v>100000</v>
      </c>
      <c r="BR21" s="163"/>
      <c r="BS21" s="163"/>
      <c r="BT21" s="160">
        <v>10</v>
      </c>
      <c r="BU21" s="52">
        <f>BQ21*BT21</f>
        <v>1000000</v>
      </c>
      <c r="BV21" s="107" t="s">
        <v>94</v>
      </c>
      <c r="BW21" s="161">
        <v>70000</v>
      </c>
      <c r="BX21" s="163"/>
      <c r="BY21" s="163"/>
      <c r="BZ21" s="160">
        <v>4</v>
      </c>
      <c r="CA21" s="52">
        <f>BW21*BZ21</f>
        <v>280000</v>
      </c>
      <c r="CB21" s="52" t="s">
        <v>95</v>
      </c>
    </row>
    <row r="22" spans="1:80" s="164" customFormat="1" ht="23.25" customHeight="1" x14ac:dyDescent="0.35">
      <c r="A22" s="155"/>
      <c r="B22" s="156" t="s">
        <v>92</v>
      </c>
      <c r="C22" s="157"/>
      <c r="D22" s="158"/>
      <c r="E22" s="158"/>
      <c r="F22" s="158"/>
      <c r="G22" s="52"/>
      <c r="H22" s="64"/>
      <c r="I22" s="159"/>
      <c r="J22" s="158"/>
      <c r="K22" s="160"/>
      <c r="L22" s="160"/>
      <c r="M22" s="52"/>
      <c r="N22" s="52"/>
      <c r="O22" s="161"/>
      <c r="P22" s="160"/>
      <c r="Q22" s="160"/>
      <c r="R22" s="160"/>
      <c r="S22" s="52"/>
      <c r="T22" s="107"/>
      <c r="U22" s="162"/>
      <c r="V22" s="160"/>
      <c r="W22" s="160"/>
      <c r="X22" s="160"/>
      <c r="Y22" s="52"/>
      <c r="Z22" s="113"/>
      <c r="AA22" s="162">
        <v>120000</v>
      </c>
      <c r="AB22" s="160"/>
      <c r="AC22" s="160"/>
      <c r="AD22" s="160">
        <v>16</v>
      </c>
      <c r="AE22" s="52">
        <f>AA22*AD22</f>
        <v>1920000</v>
      </c>
      <c r="AF22" s="70" t="s">
        <v>96</v>
      </c>
      <c r="AG22" s="162"/>
      <c r="AH22" s="160"/>
      <c r="AI22" s="160"/>
      <c r="AJ22" s="160"/>
      <c r="AK22" s="52"/>
      <c r="AL22" s="70"/>
      <c r="AM22" s="162"/>
      <c r="AN22" s="160"/>
      <c r="AO22" s="160"/>
      <c r="AP22" s="160"/>
      <c r="AQ22" s="52"/>
      <c r="AR22" s="70"/>
      <c r="AS22" s="162"/>
      <c r="AT22" s="160"/>
      <c r="AU22" s="160"/>
      <c r="AV22" s="160"/>
      <c r="AW22" s="52"/>
      <c r="AX22" s="70"/>
      <c r="AY22" s="162"/>
      <c r="AZ22" s="160"/>
      <c r="BA22" s="160"/>
      <c r="BB22" s="160"/>
      <c r="BC22" s="52"/>
      <c r="BD22" s="70"/>
      <c r="BE22" s="162"/>
      <c r="BF22" s="160"/>
      <c r="BG22" s="160"/>
      <c r="BH22" s="160"/>
      <c r="BI22" s="52"/>
      <c r="BJ22" s="70"/>
      <c r="BK22" s="162"/>
      <c r="BL22" s="163"/>
      <c r="BM22" s="163"/>
      <c r="BN22" s="160"/>
      <c r="BO22" s="52"/>
      <c r="BP22" s="70"/>
      <c r="BQ22" s="162">
        <v>132000</v>
      </c>
      <c r="BR22" s="163"/>
      <c r="BS22" s="163"/>
      <c r="BT22" s="160">
        <v>18</v>
      </c>
      <c r="BU22" s="52">
        <f>BQ22*BT22</f>
        <v>2376000</v>
      </c>
      <c r="BV22" s="107" t="s">
        <v>97</v>
      </c>
      <c r="BW22" s="161">
        <v>96000</v>
      </c>
      <c r="BX22" s="163"/>
      <c r="BY22" s="163"/>
      <c r="BZ22" s="160">
        <v>8</v>
      </c>
      <c r="CA22" s="52">
        <f>BW22*BZ22</f>
        <v>768000</v>
      </c>
      <c r="CB22" s="52" t="s">
        <v>98</v>
      </c>
    </row>
    <row r="23" spans="1:80" s="63" customFormat="1" ht="23.25" customHeight="1" x14ac:dyDescent="0.35">
      <c r="A23" s="22">
        <v>3</v>
      </c>
      <c r="B23" s="41" t="s">
        <v>99</v>
      </c>
      <c r="C23" s="91"/>
      <c r="D23" s="43">
        <f>SUM(D24:D33)</f>
        <v>58</v>
      </c>
      <c r="E23" s="43">
        <f>SUM(E24:E33)</f>
        <v>0</v>
      </c>
      <c r="F23" s="43">
        <f>SUM(F24:F33)</f>
        <v>0</v>
      </c>
      <c r="G23" s="23">
        <f>SUM(G24:G30)</f>
        <v>554000</v>
      </c>
      <c r="H23" s="24"/>
      <c r="I23" s="82"/>
      <c r="J23" s="43">
        <f>SUM(J24:J33)</f>
        <v>87</v>
      </c>
      <c r="K23" s="43">
        <f>SUM(K24:K33)</f>
        <v>0</v>
      </c>
      <c r="L23" s="43">
        <f>SUM(L24:L33)</f>
        <v>0</v>
      </c>
      <c r="M23" s="23">
        <f>SUM(M24:M30)</f>
        <v>612000</v>
      </c>
      <c r="N23" s="23"/>
      <c r="O23" s="103"/>
      <c r="P23" s="76">
        <f>SUM(P24:P33)</f>
        <v>2.5</v>
      </c>
      <c r="Q23" s="43">
        <f>SUM(Q24:Q33)</f>
        <v>0</v>
      </c>
      <c r="R23" s="43">
        <f>SUM(R24:R33)</f>
        <v>0</v>
      </c>
      <c r="S23" s="23">
        <f>SUM(S24:S29)</f>
        <v>488461.5384615385</v>
      </c>
      <c r="T23" s="72"/>
      <c r="U23" s="91"/>
      <c r="V23" s="43">
        <f>SUM(V24:V33)</f>
        <v>204.33332999999999</v>
      </c>
      <c r="W23" s="43">
        <f>SUM(W24:W33)</f>
        <v>0</v>
      </c>
      <c r="X23" s="43">
        <f>SUM(X24:X33)</f>
        <v>0</v>
      </c>
      <c r="Y23" s="23">
        <f>SUM(Y24:Y30)</f>
        <v>2268333.1</v>
      </c>
      <c r="Z23" s="111"/>
      <c r="AA23" s="91"/>
      <c r="AB23" s="76"/>
      <c r="AC23" s="43">
        <f>SUM(AC24:AC33)</f>
        <v>0</v>
      </c>
      <c r="AD23" s="43">
        <f>SUM(AD24:AD33)</f>
        <v>0</v>
      </c>
      <c r="AE23" s="23">
        <f>SUM(AE24:AE30)</f>
        <v>2450000</v>
      </c>
      <c r="AF23" s="24"/>
      <c r="AG23" s="91"/>
      <c r="AH23" s="76"/>
      <c r="AI23" s="43">
        <f>SUM(AI24:AI33)</f>
        <v>0</v>
      </c>
      <c r="AJ23" s="43">
        <f>SUM(AJ24:AJ33)</f>
        <v>0</v>
      </c>
      <c r="AK23" s="23">
        <f>SUM(AK24:AK30)</f>
        <v>2687333.1</v>
      </c>
      <c r="AL23" s="24"/>
      <c r="AM23" s="91"/>
      <c r="AN23" s="76"/>
      <c r="AO23" s="43">
        <f>SUM(AO24:AO33)</f>
        <v>0</v>
      </c>
      <c r="AP23" s="43">
        <f>SUM(AP24:AP33)</f>
        <v>0</v>
      </c>
      <c r="AQ23" s="23">
        <f>SUM(AQ24:AQ30)</f>
        <v>416000</v>
      </c>
      <c r="AR23" s="24"/>
      <c r="AS23" s="91"/>
      <c r="AT23" s="76">
        <f>SUM(AT24:AT33)</f>
        <v>98</v>
      </c>
      <c r="AU23" s="43">
        <f>SUM(AU24:AU33)</f>
        <v>0</v>
      </c>
      <c r="AV23" s="43">
        <f>SUM(AV24:AV33)</f>
        <v>0</v>
      </c>
      <c r="AW23" s="23">
        <f>SUM(AW24:AW30)</f>
        <v>1150000</v>
      </c>
      <c r="AX23" s="24"/>
      <c r="AY23" s="91"/>
      <c r="AZ23" s="76">
        <f>SUM(AZ24:AZ33)</f>
        <v>79.333330000000004</v>
      </c>
      <c r="BA23" s="43">
        <f>SUM(BA24:BA33)</f>
        <v>0</v>
      </c>
      <c r="BB23" s="43">
        <f>SUM(BB24:BB33)</f>
        <v>0</v>
      </c>
      <c r="BC23" s="23">
        <f>SUM(BC24:BC30)</f>
        <v>1583333.1</v>
      </c>
      <c r="BD23" s="24"/>
      <c r="BE23" s="91"/>
      <c r="BF23" s="76"/>
      <c r="BG23" s="43">
        <f>SUM(BG24:BG33)</f>
        <v>0</v>
      </c>
      <c r="BH23" s="43">
        <f>SUM(BH24:BH33)</f>
        <v>0</v>
      </c>
      <c r="BI23" s="23">
        <f>SUM(BI24:BI30)</f>
        <v>930000</v>
      </c>
      <c r="BJ23" s="24"/>
      <c r="BK23" s="91"/>
      <c r="BL23" s="76">
        <f>SUM(BL24:BL33)</f>
        <v>47</v>
      </c>
      <c r="BM23" s="43">
        <f>SUM(BM24:BM33)</f>
        <v>0</v>
      </c>
      <c r="BN23" s="43">
        <f>SUM(BN24:BN33)</f>
        <v>0</v>
      </c>
      <c r="BO23" s="23">
        <f>SUM(BO24:BO30)</f>
        <v>388000</v>
      </c>
      <c r="BP23" s="24"/>
      <c r="BQ23" s="91"/>
      <c r="BR23" s="76">
        <f>SUM(BR24:BR33)</f>
        <v>150</v>
      </c>
      <c r="BS23" s="43">
        <f>SUM(BS24:BS33)</f>
        <v>0</v>
      </c>
      <c r="BT23" s="43">
        <f>SUM(BT24:BT33)</f>
        <v>0</v>
      </c>
      <c r="BU23" s="23">
        <f>SUM(BU24:BU30)</f>
        <v>690000</v>
      </c>
      <c r="BV23" s="72"/>
      <c r="BW23" s="103"/>
      <c r="BX23" s="76">
        <f>SUM(BX24:BX33)</f>
        <v>38</v>
      </c>
      <c r="BY23" s="43">
        <f>SUM(BY24:BY33)</f>
        <v>0</v>
      </c>
      <c r="BZ23" s="43">
        <f>SUM(BZ24:BZ33)</f>
        <v>0</v>
      </c>
      <c r="CA23" s="23">
        <f>SUM(CA24:CA30)</f>
        <v>370000</v>
      </c>
      <c r="CB23" s="23"/>
    </row>
    <row r="24" spans="1:80" s="1" customFormat="1" ht="23.25" customHeight="1" x14ac:dyDescent="0.35">
      <c r="A24" s="25" t="s">
        <v>100</v>
      </c>
      <c r="B24" s="42" t="s">
        <v>101</v>
      </c>
      <c r="C24" s="95"/>
      <c r="D24" s="26"/>
      <c r="E24" s="26"/>
      <c r="F24" s="26"/>
      <c r="G24" s="27"/>
      <c r="H24" s="29"/>
      <c r="I24" s="81"/>
      <c r="J24" s="34"/>
      <c r="K24" s="34"/>
      <c r="L24" s="34"/>
      <c r="M24" s="3"/>
      <c r="N24" s="54"/>
      <c r="O24" s="102">
        <f>S7/26</f>
        <v>192307.69230769231</v>
      </c>
      <c r="P24" s="34">
        <v>1.5</v>
      </c>
      <c r="Q24" s="34"/>
      <c r="R24" s="34"/>
      <c r="S24" s="3">
        <f t="shared" ref="S24:S30" si="7">O24*SUM(P24:R24)</f>
        <v>288461.5384615385</v>
      </c>
      <c r="T24" s="108"/>
      <c r="U24" s="90"/>
      <c r="V24" s="34"/>
      <c r="W24" s="34"/>
      <c r="X24" s="34"/>
      <c r="Y24" s="3"/>
      <c r="Z24" s="114"/>
      <c r="AA24" s="90"/>
      <c r="AB24" s="34"/>
      <c r="AC24" s="34"/>
      <c r="AD24" s="34"/>
      <c r="AE24" s="3">
        <f t="shared" ref="AE24:AE30" si="8">AA24*SUM(AB24:AD24)</f>
        <v>0</v>
      </c>
      <c r="AF24" s="71"/>
      <c r="AG24" s="90"/>
      <c r="AH24" s="34"/>
      <c r="AI24" s="34"/>
      <c r="AJ24" s="34"/>
      <c r="AK24" s="3">
        <f t="shared" ref="AK24:AK30" si="9">AG24*SUM(AH24:AJ24)</f>
        <v>0</v>
      </c>
      <c r="AL24" s="71"/>
      <c r="AM24" s="90"/>
      <c r="AN24" s="34"/>
      <c r="AO24" s="34"/>
      <c r="AP24" s="34"/>
      <c r="AQ24" s="3">
        <f t="shared" ref="AQ24:AQ30" si="10">AM24*SUM(AN24:AP24)</f>
        <v>0</v>
      </c>
      <c r="AR24" s="71"/>
      <c r="AS24" s="90"/>
      <c r="AT24" s="34"/>
      <c r="AU24" s="34"/>
      <c r="AV24" s="34"/>
      <c r="AW24" s="3">
        <f t="shared" ref="AW24:AW30" si="11">AS24*SUM(AT24:AV24)</f>
        <v>0</v>
      </c>
      <c r="AX24" s="71"/>
      <c r="AY24" s="90"/>
      <c r="AZ24" s="34"/>
      <c r="BA24" s="34"/>
      <c r="BB24" s="34"/>
      <c r="BC24" s="3">
        <f>AY24*SUM(AZ24:BB24)</f>
        <v>0</v>
      </c>
      <c r="BD24" s="71"/>
      <c r="BE24" s="90"/>
      <c r="BF24" s="34"/>
      <c r="BG24" s="34"/>
      <c r="BH24" s="34"/>
      <c r="BI24" s="3">
        <f t="shared" ref="BI24:BI30" si="12">BE24*SUM(BF24:BH24)</f>
        <v>0</v>
      </c>
      <c r="BJ24" s="71"/>
      <c r="BK24" s="90"/>
      <c r="BL24" s="118"/>
      <c r="BM24" s="118"/>
      <c r="BN24" s="34"/>
      <c r="BO24" s="3">
        <f t="shared" ref="BO24:BO30" si="13">BK24*SUM(BL24:BN24)</f>
        <v>0</v>
      </c>
      <c r="BP24" s="71"/>
      <c r="BQ24" s="90"/>
      <c r="BR24" s="118"/>
      <c r="BS24" s="118"/>
      <c r="BT24" s="34"/>
      <c r="BU24" s="3">
        <f t="shared" ref="BU24:BU30" si="14">BQ24*SUM(BR24:BT24)</f>
        <v>0</v>
      </c>
      <c r="BV24" s="108"/>
      <c r="BW24" s="102"/>
      <c r="BX24" s="118"/>
      <c r="BY24" s="118"/>
      <c r="BZ24" s="34"/>
      <c r="CA24" s="3">
        <f t="shared" ref="CA24:CA30" si="15">BW24*SUM(BX24:BZ24)</f>
        <v>0</v>
      </c>
      <c r="CB24" s="54"/>
    </row>
    <row r="25" spans="1:80" s="15" customFormat="1" ht="23.25" customHeight="1" x14ac:dyDescent="0.35">
      <c r="A25" s="33" t="s">
        <v>102</v>
      </c>
      <c r="B25" s="47" t="s">
        <v>103</v>
      </c>
      <c r="C25" s="90">
        <v>200000</v>
      </c>
      <c r="D25" s="34">
        <v>1</v>
      </c>
      <c r="E25" s="34"/>
      <c r="F25" s="34"/>
      <c r="G25" s="3">
        <f>C25*SUM(D25:F25)</f>
        <v>200000</v>
      </c>
      <c r="H25" s="30"/>
      <c r="I25" s="81">
        <v>200000</v>
      </c>
      <c r="J25" s="34">
        <v>1</v>
      </c>
      <c r="K25" s="34"/>
      <c r="L25" s="34"/>
      <c r="M25" s="3">
        <f t="shared" ref="M25:M30" si="16">I25*SUM(J25:L25)</f>
        <v>200000</v>
      </c>
      <c r="N25" s="3"/>
      <c r="O25" s="102">
        <v>200000</v>
      </c>
      <c r="P25" s="34">
        <v>1</v>
      </c>
      <c r="Q25" s="34"/>
      <c r="R25" s="34"/>
      <c r="S25" s="3">
        <f t="shared" si="7"/>
        <v>200000</v>
      </c>
      <c r="T25" s="106"/>
      <c r="U25" s="90">
        <v>200000</v>
      </c>
      <c r="V25" s="34">
        <v>1</v>
      </c>
      <c r="W25" s="34"/>
      <c r="X25" s="34"/>
      <c r="Y25" s="3">
        <f t="shared" ref="Y25:Y30" si="17">U25*SUM(V25:X25)</f>
        <v>200000</v>
      </c>
      <c r="Z25" s="69"/>
      <c r="AA25" s="90">
        <v>200000</v>
      </c>
      <c r="AB25" s="34">
        <v>0</v>
      </c>
      <c r="AC25" s="34"/>
      <c r="AD25" s="34"/>
      <c r="AE25" s="3">
        <f t="shared" si="8"/>
        <v>0</v>
      </c>
      <c r="AF25" s="30" t="s">
        <v>104</v>
      </c>
      <c r="AG25" s="90">
        <v>200000</v>
      </c>
      <c r="AH25" s="34">
        <v>1</v>
      </c>
      <c r="AI25" s="34"/>
      <c r="AJ25" s="34"/>
      <c r="AK25" s="3">
        <f t="shared" si="9"/>
        <v>200000</v>
      </c>
      <c r="AL25" s="30"/>
      <c r="AM25" s="90">
        <v>200000</v>
      </c>
      <c r="AN25" s="34">
        <v>1</v>
      </c>
      <c r="AO25" s="34"/>
      <c r="AP25" s="34"/>
      <c r="AQ25" s="3">
        <f t="shared" si="10"/>
        <v>200000</v>
      </c>
      <c r="AR25" s="30"/>
      <c r="AS25" s="90">
        <v>200000</v>
      </c>
      <c r="AT25" s="34">
        <v>1</v>
      </c>
      <c r="AU25" s="34"/>
      <c r="AV25" s="34"/>
      <c r="AW25" s="3">
        <f t="shared" si="11"/>
        <v>200000</v>
      </c>
      <c r="AX25" s="30"/>
      <c r="AY25" s="90">
        <v>200000</v>
      </c>
      <c r="AZ25" s="34">
        <v>1</v>
      </c>
      <c r="BA25" s="34"/>
      <c r="BB25" s="34"/>
      <c r="BC25" s="3">
        <f>AY25*SUM(AZ25:BB25)</f>
        <v>200000</v>
      </c>
      <c r="BD25" s="30"/>
      <c r="BE25" s="90">
        <v>200000</v>
      </c>
      <c r="BF25" s="34">
        <v>1</v>
      </c>
      <c r="BG25" s="34"/>
      <c r="BH25" s="34"/>
      <c r="BI25" s="3">
        <f t="shared" si="12"/>
        <v>200000</v>
      </c>
      <c r="BJ25" s="30"/>
      <c r="BK25" s="90">
        <v>200000</v>
      </c>
      <c r="BL25" s="118">
        <v>1</v>
      </c>
      <c r="BM25" s="118"/>
      <c r="BN25" s="34"/>
      <c r="BO25" s="3">
        <f t="shared" si="13"/>
        <v>200000</v>
      </c>
      <c r="BP25" s="30"/>
      <c r="BQ25" s="90">
        <v>200000</v>
      </c>
      <c r="BR25" s="118">
        <v>1</v>
      </c>
      <c r="BS25" s="118"/>
      <c r="BT25" s="34"/>
      <c r="BU25" s="3">
        <f t="shared" si="14"/>
        <v>200000</v>
      </c>
      <c r="BV25" s="106"/>
      <c r="BW25" s="102">
        <v>200000</v>
      </c>
      <c r="BX25" s="118">
        <v>1</v>
      </c>
      <c r="BY25" s="118"/>
      <c r="BZ25" s="34"/>
      <c r="CA25" s="3">
        <f t="shared" si="15"/>
        <v>200000</v>
      </c>
      <c r="CB25" s="3"/>
    </row>
    <row r="26" spans="1:80" s="15" customFormat="1" ht="23.25" customHeight="1" x14ac:dyDescent="0.35">
      <c r="A26" s="25" t="s">
        <v>105</v>
      </c>
      <c r="B26" s="47" t="s">
        <v>106</v>
      </c>
      <c r="C26" s="90">
        <f>70%*100000</f>
        <v>70000</v>
      </c>
      <c r="D26" s="34"/>
      <c r="E26" s="34"/>
      <c r="F26" s="34"/>
      <c r="G26" s="3">
        <f>C26*SUM(D26:F26)</f>
        <v>0</v>
      </c>
      <c r="H26" s="30"/>
      <c r="I26" s="81">
        <f>70%*100000</f>
        <v>70000</v>
      </c>
      <c r="J26" s="34"/>
      <c r="K26" s="34"/>
      <c r="L26" s="34"/>
      <c r="M26" s="3">
        <f t="shared" si="16"/>
        <v>0</v>
      </c>
      <c r="N26" s="3"/>
      <c r="O26" s="102">
        <f>70%*100000</f>
        <v>70000</v>
      </c>
      <c r="P26" s="34"/>
      <c r="Q26" s="34"/>
      <c r="R26" s="34"/>
      <c r="S26" s="3">
        <f t="shared" si="7"/>
        <v>0</v>
      </c>
      <c r="T26" s="106"/>
      <c r="U26" s="90">
        <f>70%*100000</f>
        <v>70000</v>
      </c>
      <c r="V26" s="34">
        <v>11.33333</v>
      </c>
      <c r="W26" s="34"/>
      <c r="X26" s="34"/>
      <c r="Y26" s="3">
        <f t="shared" si="17"/>
        <v>793333.1</v>
      </c>
      <c r="Z26" s="69"/>
      <c r="AA26" s="90">
        <f>70%*100000</f>
        <v>70000</v>
      </c>
      <c r="AB26" s="34">
        <v>8</v>
      </c>
      <c r="AC26" s="34"/>
      <c r="AD26" s="34"/>
      <c r="AE26" s="3">
        <f t="shared" si="8"/>
        <v>560000</v>
      </c>
      <c r="AF26" s="30"/>
      <c r="AG26" s="90">
        <f>70%*100000</f>
        <v>70000</v>
      </c>
      <c r="AH26" s="34">
        <v>18.33333</v>
      </c>
      <c r="AI26" s="34"/>
      <c r="AJ26" s="34"/>
      <c r="AK26" s="3">
        <f t="shared" si="9"/>
        <v>1283333.1000000001</v>
      </c>
      <c r="AL26" s="30"/>
      <c r="AM26" s="90">
        <f>70%*100000</f>
        <v>70000</v>
      </c>
      <c r="AN26" s="34"/>
      <c r="AO26" s="34"/>
      <c r="AP26" s="34"/>
      <c r="AQ26" s="3">
        <f t="shared" si="10"/>
        <v>0</v>
      </c>
      <c r="AR26" s="30"/>
      <c r="AS26" s="90">
        <f>70%*100000</f>
        <v>70000</v>
      </c>
      <c r="AT26" s="34">
        <v>9</v>
      </c>
      <c r="AU26" s="34"/>
      <c r="AV26" s="34"/>
      <c r="AW26" s="3">
        <f t="shared" si="11"/>
        <v>630000</v>
      </c>
      <c r="AX26" s="30"/>
      <c r="AY26" s="90">
        <f>70%*100000</f>
        <v>70000</v>
      </c>
      <c r="AZ26" s="146">
        <v>7.3333300000000001</v>
      </c>
      <c r="BA26" s="74"/>
      <c r="BB26" s="31"/>
      <c r="BC26" s="3">
        <f>AY26*(AZ26+BA26+BB26)</f>
        <v>513333.10000000003</v>
      </c>
      <c r="BD26" s="30"/>
      <c r="BE26" s="90">
        <f>70%*100000</f>
        <v>70000</v>
      </c>
      <c r="BF26" s="34"/>
      <c r="BG26" s="34"/>
      <c r="BH26" s="34"/>
      <c r="BI26" s="3">
        <f t="shared" si="12"/>
        <v>0</v>
      </c>
      <c r="BJ26" s="30"/>
      <c r="BK26" s="90">
        <f>70%*100000</f>
        <v>70000</v>
      </c>
      <c r="BL26" s="118"/>
      <c r="BM26" s="118"/>
      <c r="BN26" s="34"/>
      <c r="BO26" s="3">
        <f t="shared" si="13"/>
        <v>0</v>
      </c>
      <c r="BP26" s="30"/>
      <c r="BQ26" s="90">
        <f>70%*100000</f>
        <v>70000</v>
      </c>
      <c r="BR26" s="118"/>
      <c r="BS26" s="118"/>
      <c r="BT26" s="34"/>
      <c r="BU26" s="3">
        <f t="shared" si="14"/>
        <v>0</v>
      </c>
      <c r="BV26" s="106"/>
      <c r="BW26" s="102">
        <f>70%*100000</f>
        <v>70000</v>
      </c>
      <c r="BX26" s="118"/>
      <c r="BY26" s="118"/>
      <c r="BZ26" s="34"/>
      <c r="CA26" s="3">
        <f t="shared" si="15"/>
        <v>0</v>
      </c>
      <c r="CB26" s="3"/>
    </row>
    <row r="27" spans="1:80" s="1" customFormat="1" ht="23.25" customHeight="1" x14ac:dyDescent="0.35">
      <c r="A27" s="33" t="s">
        <v>107</v>
      </c>
      <c r="B27" s="47" t="s">
        <v>108</v>
      </c>
      <c r="C27" s="90">
        <v>5000</v>
      </c>
      <c r="D27" s="50"/>
      <c r="E27" s="50"/>
      <c r="F27" s="50"/>
      <c r="G27" s="3">
        <f>C27*SUM(D27:F27)</f>
        <v>0</v>
      </c>
      <c r="H27" s="30"/>
      <c r="I27" s="81">
        <v>5000</v>
      </c>
      <c r="J27" s="50"/>
      <c r="K27" s="50"/>
      <c r="L27" s="50"/>
      <c r="M27" s="3">
        <f t="shared" si="16"/>
        <v>0</v>
      </c>
      <c r="N27" s="3"/>
      <c r="O27" s="102">
        <v>5000</v>
      </c>
      <c r="P27" s="34"/>
      <c r="Q27" s="34"/>
      <c r="R27" s="34"/>
      <c r="S27" s="3">
        <f t="shared" si="7"/>
        <v>0</v>
      </c>
      <c r="T27" s="106"/>
      <c r="U27" s="90">
        <v>5000</v>
      </c>
      <c r="V27" s="50">
        <v>185</v>
      </c>
      <c r="W27" s="50"/>
      <c r="X27" s="50"/>
      <c r="Y27" s="3">
        <f t="shared" si="17"/>
        <v>925000</v>
      </c>
      <c r="Z27" s="69"/>
      <c r="AA27" s="90">
        <v>5000</v>
      </c>
      <c r="AB27" s="50">
        <v>288</v>
      </c>
      <c r="AC27" s="50"/>
      <c r="AD27" s="50"/>
      <c r="AE27" s="3">
        <f t="shared" si="8"/>
        <v>1440000</v>
      </c>
      <c r="AF27" s="30"/>
      <c r="AG27" s="90">
        <v>5000</v>
      </c>
      <c r="AH27" s="50"/>
      <c r="AI27" s="50"/>
      <c r="AJ27" s="50"/>
      <c r="AK27" s="3">
        <f t="shared" si="9"/>
        <v>0</v>
      </c>
      <c r="AL27" s="30"/>
      <c r="AM27" s="90">
        <v>5000</v>
      </c>
      <c r="AN27" s="50"/>
      <c r="AO27" s="50"/>
      <c r="AP27" s="50"/>
      <c r="AQ27" s="3">
        <f t="shared" si="10"/>
        <v>0</v>
      </c>
      <c r="AR27" s="30"/>
      <c r="AS27" s="90">
        <v>5000</v>
      </c>
      <c r="AT27" s="50"/>
      <c r="AU27" s="50"/>
      <c r="AV27" s="50"/>
      <c r="AW27" s="3">
        <f t="shared" si="11"/>
        <v>0</v>
      </c>
      <c r="AX27" s="30"/>
      <c r="AY27" s="90">
        <v>5000</v>
      </c>
      <c r="AZ27" s="50"/>
      <c r="BA27" s="50"/>
      <c r="BB27" s="50"/>
      <c r="BC27" s="3">
        <f>AY27*SUM(AZ27:BB27)</f>
        <v>0</v>
      </c>
      <c r="BD27" s="30"/>
      <c r="BE27" s="90">
        <v>5000</v>
      </c>
      <c r="BF27" s="50"/>
      <c r="BG27" s="50"/>
      <c r="BH27" s="50"/>
      <c r="BI27" s="3">
        <f t="shared" si="12"/>
        <v>0</v>
      </c>
      <c r="BJ27" s="30"/>
      <c r="BK27" s="90">
        <v>5000</v>
      </c>
      <c r="BL27" s="123"/>
      <c r="BM27" s="123"/>
      <c r="BN27" s="50"/>
      <c r="BO27" s="3">
        <f t="shared" si="13"/>
        <v>0</v>
      </c>
      <c r="BP27" s="30"/>
      <c r="BQ27" s="90">
        <v>5000</v>
      </c>
      <c r="BR27" s="123"/>
      <c r="BS27" s="123"/>
      <c r="BT27" s="50"/>
      <c r="BU27" s="3">
        <f t="shared" si="14"/>
        <v>0</v>
      </c>
      <c r="BV27" s="106"/>
      <c r="BW27" s="102">
        <v>5000</v>
      </c>
      <c r="BX27" s="123"/>
      <c r="BY27" s="123"/>
      <c r="BZ27" s="50"/>
      <c r="CA27" s="3">
        <f t="shared" si="15"/>
        <v>0</v>
      </c>
      <c r="CB27" s="3"/>
    </row>
    <row r="28" spans="1:80" s="15" customFormat="1" ht="23.25" customHeight="1" x14ac:dyDescent="0.35">
      <c r="A28" s="25" t="s">
        <v>109</v>
      </c>
      <c r="B28" s="47" t="s">
        <v>110</v>
      </c>
      <c r="C28" s="90">
        <v>2000</v>
      </c>
      <c r="D28" s="34">
        <v>52</v>
      </c>
      <c r="E28" s="34"/>
      <c r="F28" s="34"/>
      <c r="G28" s="3">
        <f>C28*SUM(D28:F28)</f>
        <v>104000</v>
      </c>
      <c r="H28" s="30"/>
      <c r="I28" s="81">
        <v>2000</v>
      </c>
      <c r="J28" s="34">
        <v>81</v>
      </c>
      <c r="K28" s="34"/>
      <c r="L28" s="34"/>
      <c r="M28" s="3">
        <f t="shared" si="16"/>
        <v>162000</v>
      </c>
      <c r="N28" s="3"/>
      <c r="O28" s="102">
        <v>2000</v>
      </c>
      <c r="P28" s="34"/>
      <c r="Q28" s="34"/>
      <c r="R28" s="34"/>
      <c r="S28" s="3">
        <f t="shared" si="7"/>
        <v>0</v>
      </c>
      <c r="T28" s="106"/>
      <c r="U28" s="90">
        <v>2000</v>
      </c>
      <c r="V28" s="34"/>
      <c r="W28" s="34"/>
      <c r="X28" s="34"/>
      <c r="Y28" s="3">
        <f t="shared" si="17"/>
        <v>0</v>
      </c>
      <c r="Z28" s="69"/>
      <c r="AA28" s="90">
        <v>2000</v>
      </c>
      <c r="AB28" s="34"/>
      <c r="AC28" s="34"/>
      <c r="AD28" s="34"/>
      <c r="AE28" s="3">
        <f t="shared" si="8"/>
        <v>0</v>
      </c>
      <c r="AF28" s="30"/>
      <c r="AG28" s="90">
        <v>2000</v>
      </c>
      <c r="AH28" s="34">
        <v>327</v>
      </c>
      <c r="AI28" s="34"/>
      <c r="AJ28" s="34"/>
      <c r="AK28" s="3">
        <f t="shared" si="9"/>
        <v>654000</v>
      </c>
      <c r="AL28" s="30"/>
      <c r="AM28" s="90">
        <v>2000</v>
      </c>
      <c r="AN28" s="34">
        <v>58</v>
      </c>
      <c r="AO28" s="34"/>
      <c r="AP28" s="34"/>
      <c r="AQ28" s="3">
        <f t="shared" si="10"/>
        <v>116000</v>
      </c>
      <c r="AR28" s="30"/>
      <c r="AS28" s="90">
        <v>2000</v>
      </c>
      <c r="AT28" s="34">
        <v>85</v>
      </c>
      <c r="AU28" s="34"/>
      <c r="AV28" s="34"/>
      <c r="AW28" s="3">
        <f t="shared" si="11"/>
        <v>170000</v>
      </c>
      <c r="AX28" s="30"/>
      <c r="AY28" s="90">
        <v>2000</v>
      </c>
      <c r="AZ28" s="34">
        <v>70</v>
      </c>
      <c r="BA28" s="34"/>
      <c r="BB28" s="34"/>
      <c r="BC28" s="3">
        <f>AY28*SUM(AZ28:BB28)</f>
        <v>140000</v>
      </c>
      <c r="BD28" s="30"/>
      <c r="BE28" s="90">
        <v>2000</v>
      </c>
      <c r="BF28" s="34">
        <v>165</v>
      </c>
      <c r="BG28" s="34"/>
      <c r="BH28" s="34"/>
      <c r="BI28" s="3">
        <f t="shared" si="12"/>
        <v>330000</v>
      </c>
      <c r="BJ28" s="30"/>
      <c r="BK28" s="90">
        <v>2000</v>
      </c>
      <c r="BL28" s="118">
        <v>44</v>
      </c>
      <c r="BM28" s="118"/>
      <c r="BN28" s="34"/>
      <c r="BO28" s="3">
        <f t="shared" si="13"/>
        <v>88000</v>
      </c>
      <c r="BP28" s="30"/>
      <c r="BQ28" s="90">
        <v>2000</v>
      </c>
      <c r="BR28" s="118">
        <v>145</v>
      </c>
      <c r="BS28" s="118"/>
      <c r="BT28" s="34"/>
      <c r="BU28" s="3">
        <f t="shared" si="14"/>
        <v>290000</v>
      </c>
      <c r="BV28" s="106"/>
      <c r="BW28" s="102">
        <v>2000</v>
      </c>
      <c r="BX28" s="118">
        <v>35</v>
      </c>
      <c r="BY28" s="118"/>
      <c r="BZ28" s="34"/>
      <c r="CA28" s="3">
        <f t="shared" si="15"/>
        <v>70000</v>
      </c>
      <c r="CB28" s="3"/>
    </row>
    <row r="29" spans="1:80" s="15" customFormat="1" ht="23.25" customHeight="1" x14ac:dyDescent="0.35">
      <c r="A29" s="33" t="s">
        <v>111</v>
      </c>
      <c r="B29" s="47" t="s">
        <v>112</v>
      </c>
      <c r="C29" s="90">
        <v>50000</v>
      </c>
      <c r="D29" s="34">
        <v>5</v>
      </c>
      <c r="E29" s="34"/>
      <c r="F29" s="34"/>
      <c r="G29" s="3">
        <f>C29*SUM(D29:F29)</f>
        <v>250000</v>
      </c>
      <c r="H29" s="30"/>
      <c r="I29" s="81">
        <v>50000</v>
      </c>
      <c r="J29" s="34">
        <v>5</v>
      </c>
      <c r="K29" s="34"/>
      <c r="L29" s="34"/>
      <c r="M29" s="3">
        <f t="shared" si="16"/>
        <v>250000</v>
      </c>
      <c r="N29" s="3"/>
      <c r="O29" s="102">
        <v>50000</v>
      </c>
      <c r="P29" s="34"/>
      <c r="Q29" s="34"/>
      <c r="R29" s="34"/>
      <c r="S29" s="3">
        <f t="shared" si="7"/>
        <v>0</v>
      </c>
      <c r="T29" s="106"/>
      <c r="U29" s="90">
        <v>50000</v>
      </c>
      <c r="V29" s="34">
        <v>7</v>
      </c>
      <c r="W29" s="34"/>
      <c r="X29" s="34"/>
      <c r="Y29" s="3">
        <f t="shared" si="17"/>
        <v>350000</v>
      </c>
      <c r="Z29" s="69"/>
      <c r="AA29" s="90">
        <v>50000</v>
      </c>
      <c r="AB29" s="34">
        <v>9</v>
      </c>
      <c r="AC29" s="34"/>
      <c r="AD29" s="34"/>
      <c r="AE29" s="3">
        <f t="shared" si="8"/>
        <v>450000</v>
      </c>
      <c r="AF29" s="30"/>
      <c r="AG29" s="90">
        <v>50000</v>
      </c>
      <c r="AH29" s="34">
        <v>11</v>
      </c>
      <c r="AI29" s="34"/>
      <c r="AJ29" s="34"/>
      <c r="AK29" s="3">
        <f t="shared" si="9"/>
        <v>550000</v>
      </c>
      <c r="AL29" s="30"/>
      <c r="AM29" s="90">
        <v>50000</v>
      </c>
      <c r="AN29" s="34">
        <v>2</v>
      </c>
      <c r="AO29" s="34"/>
      <c r="AP29" s="34"/>
      <c r="AQ29" s="3">
        <f t="shared" si="10"/>
        <v>100000</v>
      </c>
      <c r="AR29" s="30"/>
      <c r="AS29" s="90">
        <v>50000</v>
      </c>
      <c r="AT29" s="34">
        <v>3</v>
      </c>
      <c r="AU29" s="34"/>
      <c r="AV29" s="34"/>
      <c r="AW29" s="3">
        <f t="shared" si="11"/>
        <v>150000</v>
      </c>
      <c r="AX29" s="30"/>
      <c r="AY29" s="90">
        <v>50000</v>
      </c>
      <c r="AZ29" s="34">
        <v>1</v>
      </c>
      <c r="BA29" s="34"/>
      <c r="BB29" s="34"/>
      <c r="BC29" s="3">
        <f>AY29*SUM(AZ29:BB29)</f>
        <v>50000</v>
      </c>
      <c r="BD29" s="30"/>
      <c r="BE29" s="90">
        <v>50000</v>
      </c>
      <c r="BF29" s="34">
        <v>8</v>
      </c>
      <c r="BG29" s="34"/>
      <c r="BH29" s="34"/>
      <c r="BI29" s="3">
        <f t="shared" si="12"/>
        <v>400000</v>
      </c>
      <c r="BJ29" s="30"/>
      <c r="BK29" s="90">
        <v>50000</v>
      </c>
      <c r="BL29" s="118">
        <v>2</v>
      </c>
      <c r="BM29" s="118"/>
      <c r="BN29" s="34"/>
      <c r="BO29" s="3">
        <f t="shared" si="13"/>
        <v>100000</v>
      </c>
      <c r="BP29" s="30"/>
      <c r="BQ29" s="90">
        <v>50000</v>
      </c>
      <c r="BR29" s="118">
        <v>4</v>
      </c>
      <c r="BS29" s="118"/>
      <c r="BT29" s="34"/>
      <c r="BU29" s="3">
        <f t="shared" si="14"/>
        <v>200000</v>
      </c>
      <c r="BV29" s="106"/>
      <c r="BW29" s="102">
        <v>50000</v>
      </c>
      <c r="BX29" s="118">
        <v>2</v>
      </c>
      <c r="BY29" s="118"/>
      <c r="BZ29" s="34"/>
      <c r="CA29" s="3">
        <f t="shared" si="15"/>
        <v>100000</v>
      </c>
      <c r="CB29" s="3"/>
    </row>
    <row r="30" spans="1:80" s="15" customFormat="1" ht="23.25" customHeight="1" x14ac:dyDescent="0.35">
      <c r="A30" s="25" t="s">
        <v>113</v>
      </c>
      <c r="B30" s="47" t="s">
        <v>114</v>
      </c>
      <c r="C30" s="90"/>
      <c r="D30" s="34"/>
      <c r="E30" s="34"/>
      <c r="F30" s="34"/>
      <c r="G30" s="3">
        <f>C30+SUM(D30:F30)</f>
        <v>0</v>
      </c>
      <c r="H30" s="30"/>
      <c r="I30" s="81"/>
      <c r="J30" s="34"/>
      <c r="K30" s="34"/>
      <c r="L30" s="34"/>
      <c r="M30" s="3">
        <f t="shared" si="16"/>
        <v>0</v>
      </c>
      <c r="N30" s="3"/>
      <c r="O30" s="102"/>
      <c r="P30" s="34"/>
      <c r="Q30" s="34"/>
      <c r="R30" s="34"/>
      <c r="S30" s="3">
        <f t="shared" si="7"/>
        <v>0</v>
      </c>
      <c r="T30" s="106"/>
      <c r="U30" s="90"/>
      <c r="V30" s="34"/>
      <c r="W30" s="34"/>
      <c r="X30" s="34"/>
      <c r="Y30" s="3">
        <f t="shared" si="17"/>
        <v>0</v>
      </c>
      <c r="Z30" s="69"/>
      <c r="AA30" s="90"/>
      <c r="AB30" s="34"/>
      <c r="AC30" s="34"/>
      <c r="AD30" s="34"/>
      <c r="AE30" s="3">
        <f t="shared" si="8"/>
        <v>0</v>
      </c>
      <c r="AF30" s="30"/>
      <c r="AG30" s="90"/>
      <c r="AH30" s="34"/>
      <c r="AI30" s="34"/>
      <c r="AJ30" s="34"/>
      <c r="AK30" s="3">
        <f t="shared" si="9"/>
        <v>0</v>
      </c>
      <c r="AL30" s="30"/>
      <c r="AM30" s="90"/>
      <c r="AN30" s="34"/>
      <c r="AO30" s="34"/>
      <c r="AP30" s="34"/>
      <c r="AQ30" s="3">
        <f t="shared" si="10"/>
        <v>0</v>
      </c>
      <c r="AR30" s="30"/>
      <c r="AS30" s="90"/>
      <c r="AT30" s="34"/>
      <c r="AU30" s="34"/>
      <c r="AV30" s="34"/>
      <c r="AW30" s="3">
        <f t="shared" si="11"/>
        <v>0</v>
      </c>
      <c r="AX30" s="30"/>
      <c r="AY30" s="90"/>
      <c r="AZ30" s="34"/>
      <c r="BA30" s="34"/>
      <c r="BB30" s="34"/>
      <c r="BC30" s="3">
        <f>17*40000</f>
        <v>680000</v>
      </c>
      <c r="BD30" s="127" t="s">
        <v>115</v>
      </c>
      <c r="BE30" s="90"/>
      <c r="BF30" s="34"/>
      <c r="BG30" s="34"/>
      <c r="BH30" s="34"/>
      <c r="BI30" s="3">
        <f t="shared" si="12"/>
        <v>0</v>
      </c>
      <c r="BJ30" s="30"/>
      <c r="BK30" s="90"/>
      <c r="BL30" s="118"/>
      <c r="BM30" s="118"/>
      <c r="BN30" s="34"/>
      <c r="BO30" s="3">
        <f t="shared" si="13"/>
        <v>0</v>
      </c>
      <c r="BP30" s="30"/>
      <c r="BQ30" s="90"/>
      <c r="BR30" s="118"/>
      <c r="BS30" s="118"/>
      <c r="BT30" s="34"/>
      <c r="BU30" s="3">
        <f t="shared" si="14"/>
        <v>0</v>
      </c>
      <c r="BV30" s="106"/>
      <c r="BW30" s="102"/>
      <c r="BX30" s="118"/>
      <c r="BY30" s="118"/>
      <c r="BZ30" s="34"/>
      <c r="CA30" s="3">
        <f t="shared" si="15"/>
        <v>0</v>
      </c>
      <c r="CB30" s="3"/>
    </row>
    <row r="31" spans="1:80" s="63" customFormat="1" ht="23.25" customHeight="1" x14ac:dyDescent="0.35">
      <c r="A31" s="22">
        <v>4</v>
      </c>
      <c r="B31" s="41" t="s">
        <v>116</v>
      </c>
      <c r="C31" s="91"/>
      <c r="D31" s="75"/>
      <c r="E31" s="75"/>
      <c r="F31" s="75"/>
      <c r="G31" s="23">
        <f>SUM(G32:G35)</f>
        <v>535500</v>
      </c>
      <c r="H31" s="24">
        <f>D31+E31+F31</f>
        <v>0</v>
      </c>
      <c r="I31" s="82"/>
      <c r="J31" s="75"/>
      <c r="K31" s="75"/>
      <c r="L31" s="75"/>
      <c r="M31" s="23">
        <f>SUM(M32:M35)</f>
        <v>535500</v>
      </c>
      <c r="N31" s="23">
        <f>J31+K31+L31</f>
        <v>0</v>
      </c>
      <c r="O31" s="103"/>
      <c r="P31" s="75"/>
      <c r="Q31" s="75"/>
      <c r="R31" s="75"/>
      <c r="S31" s="23">
        <f>SUM(S32:S35)</f>
        <v>535500</v>
      </c>
      <c r="T31" s="72">
        <f>P31+Q31+R31</f>
        <v>0</v>
      </c>
      <c r="U31" s="91"/>
      <c r="V31" s="75"/>
      <c r="W31" s="75"/>
      <c r="X31" s="75"/>
      <c r="Y31" s="23">
        <f>SUM(Y32:Y35)</f>
        <v>573142</v>
      </c>
      <c r="Z31" s="111">
        <f>V31+W31+X31</f>
        <v>0</v>
      </c>
      <c r="AA31" s="91"/>
      <c r="AB31" s="75"/>
      <c r="AC31" s="75"/>
      <c r="AD31" s="75"/>
      <c r="AE31" s="23">
        <f>SUM(AE32:AE35)</f>
        <v>535500</v>
      </c>
      <c r="AF31" s="24">
        <f>AB31+AC31+AD31</f>
        <v>0</v>
      </c>
      <c r="AG31" s="91"/>
      <c r="AH31" s="75"/>
      <c r="AI31" s="75"/>
      <c r="AJ31" s="75"/>
      <c r="AK31" s="23">
        <f>SUM(AK32:AK35)</f>
        <v>535500</v>
      </c>
      <c r="AL31" s="24">
        <f>AH31+AI31+AJ31</f>
        <v>0</v>
      </c>
      <c r="AM31" s="91"/>
      <c r="AN31" s="75"/>
      <c r="AO31" s="75"/>
      <c r="AP31" s="75"/>
      <c r="AQ31" s="23">
        <f>SUM(AQ32:AQ35)</f>
        <v>535500</v>
      </c>
      <c r="AR31" s="24">
        <f>AN31+AO31+AP31</f>
        <v>0</v>
      </c>
      <c r="AS31" s="91"/>
      <c r="AT31" s="75"/>
      <c r="AU31" s="75"/>
      <c r="AV31" s="75"/>
      <c r="AW31" s="23">
        <f>SUM(AW32:AW35)</f>
        <v>535500</v>
      </c>
      <c r="AX31" s="24">
        <f>AT31+AU31+AV31</f>
        <v>0</v>
      </c>
      <c r="AY31" s="91"/>
      <c r="AZ31" s="75"/>
      <c r="BA31" s="75"/>
      <c r="BB31" s="75"/>
      <c r="BC31" s="23">
        <f>SUM(BC32:BC35)</f>
        <v>535500</v>
      </c>
      <c r="BD31" s="24">
        <f>AZ31+BA31+BB31</f>
        <v>0</v>
      </c>
      <c r="BE31" s="91"/>
      <c r="BF31" s="75"/>
      <c r="BG31" s="75"/>
      <c r="BH31" s="75"/>
      <c r="BI31" s="23">
        <f>SUM(BI32:BI35)</f>
        <v>535500</v>
      </c>
      <c r="BJ31" s="24">
        <f>BF31+BG31+BH31</f>
        <v>0</v>
      </c>
      <c r="BK31" s="91"/>
      <c r="BL31" s="125"/>
      <c r="BM31" s="125"/>
      <c r="BN31" s="75"/>
      <c r="BO31" s="23">
        <f>SUM(BO32:BO35)</f>
        <v>1632000</v>
      </c>
      <c r="BP31" s="24">
        <f>BL31+BM31+BN31</f>
        <v>0</v>
      </c>
      <c r="BQ31" s="91"/>
      <c r="BR31" s="125"/>
      <c r="BS31" s="125"/>
      <c r="BT31" s="75"/>
      <c r="BU31" s="23">
        <f>SUM(BU32:BU35)</f>
        <v>1632000</v>
      </c>
      <c r="BV31" s="72">
        <f>BR31+BS31+BT31</f>
        <v>0</v>
      </c>
      <c r="BW31" s="103"/>
      <c r="BX31" s="125"/>
      <c r="BY31" s="125"/>
      <c r="BZ31" s="75"/>
      <c r="CA31" s="23">
        <f>SUM(CA32:CA35)</f>
        <v>1780250</v>
      </c>
      <c r="CB31" s="23">
        <f>BX31+BY31+BZ31</f>
        <v>0</v>
      </c>
    </row>
    <row r="32" spans="1:80" s="15" customFormat="1" ht="23.25" customHeight="1" x14ac:dyDescent="0.35">
      <c r="A32" s="33" t="s">
        <v>117</v>
      </c>
      <c r="B32" s="47" t="s">
        <v>118</v>
      </c>
      <c r="C32" s="89"/>
      <c r="D32" s="34"/>
      <c r="E32" s="34"/>
      <c r="F32" s="34"/>
      <c r="G32" s="3">
        <f>5100000*10.5%</f>
        <v>535500</v>
      </c>
      <c r="H32" s="30"/>
      <c r="I32" s="80"/>
      <c r="J32" s="34"/>
      <c r="K32" s="34"/>
      <c r="L32" s="34"/>
      <c r="M32" s="3">
        <f>5100000*10.5%</f>
        <v>535500</v>
      </c>
      <c r="N32" s="3"/>
      <c r="O32" s="101"/>
      <c r="P32" s="34"/>
      <c r="Q32" s="34"/>
      <c r="R32" s="34"/>
      <c r="S32" s="3">
        <f>5100000*10.5%</f>
        <v>535500</v>
      </c>
      <c r="T32" s="106"/>
      <c r="U32" s="89"/>
      <c r="V32" s="34"/>
      <c r="W32" s="34"/>
      <c r="X32" s="34"/>
      <c r="Y32" s="3">
        <f>5100000*10.5%</f>
        <v>535500</v>
      </c>
      <c r="Z32" s="69"/>
      <c r="AA32" s="89"/>
      <c r="AB32" s="34"/>
      <c r="AC32" s="34"/>
      <c r="AD32" s="34"/>
      <c r="AE32" s="3">
        <f>5100000*10.5%</f>
        <v>535500</v>
      </c>
      <c r="AF32" s="30"/>
      <c r="AG32" s="89"/>
      <c r="AH32" s="34"/>
      <c r="AI32" s="34"/>
      <c r="AJ32" s="34"/>
      <c r="AK32" s="3">
        <f>5100000*10.5%</f>
        <v>535500</v>
      </c>
      <c r="AL32" s="30"/>
      <c r="AM32" s="89"/>
      <c r="AN32" s="34"/>
      <c r="AO32" s="34"/>
      <c r="AP32" s="34"/>
      <c r="AQ32" s="3">
        <f>5100000*10.5%</f>
        <v>535500</v>
      </c>
      <c r="AR32" s="30"/>
      <c r="AS32" s="89"/>
      <c r="AT32" s="34"/>
      <c r="AU32" s="34"/>
      <c r="AV32" s="34"/>
      <c r="AW32" s="3">
        <f>5100000*10.5%</f>
        <v>535500</v>
      </c>
      <c r="AX32" s="30"/>
      <c r="AY32" s="89"/>
      <c r="AZ32" s="34"/>
      <c r="BA32" s="34"/>
      <c r="BB32" s="34"/>
      <c r="BC32" s="3">
        <f>5100000*10.5%</f>
        <v>535500</v>
      </c>
      <c r="BD32" s="30"/>
      <c r="BE32" s="89"/>
      <c r="BF32" s="34"/>
      <c r="BG32" s="34"/>
      <c r="BH32" s="34"/>
      <c r="BI32" s="3">
        <f>5100000*10.5%</f>
        <v>535500</v>
      </c>
      <c r="BJ32" s="30"/>
      <c r="BK32" s="89"/>
      <c r="BL32" s="118"/>
      <c r="BM32" s="118"/>
      <c r="BN32" s="34"/>
      <c r="BO32" s="3">
        <f>5100000*32%</f>
        <v>1632000</v>
      </c>
      <c r="BP32" s="127" t="s">
        <v>119</v>
      </c>
      <c r="BQ32" s="89"/>
      <c r="BR32" s="118"/>
      <c r="BS32" s="118"/>
      <c r="BT32" s="34"/>
      <c r="BU32" s="3">
        <f>5100000*32%</f>
        <v>1632000</v>
      </c>
      <c r="BV32" s="270" t="s">
        <v>119</v>
      </c>
      <c r="BW32" s="101"/>
      <c r="BX32" s="118"/>
      <c r="BY32" s="118"/>
      <c r="BZ32" s="34"/>
      <c r="CA32" s="3">
        <f>5100000*32%</f>
        <v>1632000</v>
      </c>
      <c r="CB32" s="271" t="s">
        <v>119</v>
      </c>
    </row>
    <row r="33" spans="1:80" s="15" customFormat="1" ht="23.25" customHeight="1" x14ac:dyDescent="0.35">
      <c r="A33" s="33" t="s">
        <v>120</v>
      </c>
      <c r="B33" s="42" t="s">
        <v>121</v>
      </c>
      <c r="C33" s="94"/>
      <c r="D33" s="26"/>
      <c r="E33" s="26"/>
      <c r="F33" s="26"/>
      <c r="G33" s="3"/>
      <c r="H33" s="30"/>
      <c r="I33" s="80"/>
      <c r="J33" s="34"/>
      <c r="K33" s="34"/>
      <c r="L33" s="34"/>
      <c r="M33" s="3"/>
      <c r="N33" s="3"/>
      <c r="O33" s="101"/>
      <c r="P33" s="34"/>
      <c r="Q33" s="34"/>
      <c r="R33" s="34"/>
      <c r="S33" s="3"/>
      <c r="T33" s="106"/>
      <c r="U33" s="89"/>
      <c r="V33" s="34"/>
      <c r="W33" s="34"/>
      <c r="X33" s="34"/>
      <c r="Y33" s="3"/>
      <c r="Z33" s="69"/>
      <c r="AA33" s="89"/>
      <c r="AB33" s="34"/>
      <c r="AC33" s="34"/>
      <c r="AD33" s="34"/>
      <c r="AE33" s="3"/>
      <c r="AF33" s="30"/>
      <c r="AG33" s="89"/>
      <c r="AH33" s="34"/>
      <c r="AI33" s="34"/>
      <c r="AJ33" s="34"/>
      <c r="AK33" s="3"/>
      <c r="AL33" s="30"/>
      <c r="AM33" s="89"/>
      <c r="AN33" s="34"/>
      <c r="AO33" s="34"/>
      <c r="AP33" s="34"/>
      <c r="AQ33" s="3"/>
      <c r="AR33" s="30"/>
      <c r="AS33" s="89"/>
      <c r="AT33" s="34"/>
      <c r="AU33" s="34"/>
      <c r="AV33" s="34"/>
      <c r="AW33" s="3"/>
      <c r="AX33" s="30"/>
      <c r="AY33" s="89"/>
      <c r="AZ33" s="34"/>
      <c r="BA33" s="34"/>
      <c r="BB33" s="34"/>
      <c r="BC33" s="3"/>
      <c r="BD33" s="30"/>
      <c r="BE33" s="89"/>
      <c r="BF33" s="34"/>
      <c r="BG33" s="34"/>
      <c r="BH33" s="34"/>
      <c r="BI33" s="3"/>
      <c r="BJ33" s="30"/>
      <c r="BK33" s="89"/>
      <c r="BL33" s="118"/>
      <c r="BM33" s="118"/>
      <c r="BN33" s="34"/>
      <c r="BO33" s="3"/>
      <c r="BP33" s="30"/>
      <c r="BQ33" s="89"/>
      <c r="BR33" s="118"/>
      <c r="BS33" s="118"/>
      <c r="BT33" s="34"/>
      <c r="BU33" s="3"/>
      <c r="BV33" s="106"/>
      <c r="BW33" s="101"/>
      <c r="BX33" s="118"/>
      <c r="BY33" s="118"/>
      <c r="BZ33" s="34"/>
      <c r="CA33" s="3"/>
      <c r="CB33" s="3"/>
    </row>
    <row r="34" spans="1:80" s="15" customFormat="1" ht="23.25" customHeight="1" x14ac:dyDescent="0.35">
      <c r="A34" s="33" t="s">
        <v>122</v>
      </c>
      <c r="B34" s="42" t="s">
        <v>123</v>
      </c>
      <c r="C34" s="94"/>
      <c r="D34" s="26"/>
      <c r="E34" s="26"/>
      <c r="F34" s="26"/>
      <c r="G34" s="3"/>
      <c r="H34" s="30"/>
      <c r="I34" s="80"/>
      <c r="J34" s="34"/>
      <c r="K34" s="34"/>
      <c r="L34" s="34"/>
      <c r="M34" s="3"/>
      <c r="N34" s="3"/>
      <c r="O34" s="101"/>
      <c r="P34" s="34"/>
      <c r="Q34" s="34"/>
      <c r="R34" s="34"/>
      <c r="S34" s="3"/>
      <c r="T34" s="106"/>
      <c r="U34" s="89"/>
      <c r="V34" s="34"/>
      <c r="W34" s="34"/>
      <c r="X34" s="34"/>
      <c r="Y34" s="3">
        <v>37642</v>
      </c>
      <c r="Z34" s="69"/>
      <c r="AA34" s="89"/>
      <c r="AB34" s="34"/>
      <c r="AC34" s="34"/>
      <c r="AD34" s="34"/>
      <c r="AE34" s="3"/>
      <c r="AF34" s="30"/>
      <c r="AG34" s="89"/>
      <c r="AH34" s="34"/>
      <c r="AI34" s="34"/>
      <c r="AJ34" s="34"/>
      <c r="AK34" s="3"/>
      <c r="AL34" s="30"/>
      <c r="AM34" s="89"/>
      <c r="AN34" s="34"/>
      <c r="AO34" s="34"/>
      <c r="AP34" s="34"/>
      <c r="AQ34" s="3"/>
      <c r="AR34" s="30"/>
      <c r="AS34" s="89"/>
      <c r="AT34" s="34"/>
      <c r="AU34" s="34"/>
      <c r="AV34" s="34"/>
      <c r="AW34" s="3"/>
      <c r="AX34" s="30"/>
      <c r="AY34" s="89"/>
      <c r="AZ34" s="34"/>
      <c r="BA34" s="34"/>
      <c r="BB34" s="34"/>
      <c r="BC34" s="3"/>
      <c r="BD34" s="30"/>
      <c r="BE34" s="89"/>
      <c r="BF34" s="34"/>
      <c r="BG34" s="34"/>
      <c r="BH34" s="34"/>
      <c r="BI34" s="3"/>
      <c r="BJ34" s="30"/>
      <c r="BK34" s="89"/>
      <c r="BL34" s="118"/>
      <c r="BM34" s="118"/>
      <c r="BN34" s="34"/>
      <c r="BO34" s="3"/>
      <c r="BP34" s="238" t="s">
        <v>124</v>
      </c>
      <c r="BQ34" s="89"/>
      <c r="BR34" s="118"/>
      <c r="BS34" s="118"/>
      <c r="BT34" s="34"/>
      <c r="BU34" s="3"/>
      <c r="BV34" s="106"/>
      <c r="BW34" s="101"/>
      <c r="BX34" s="118"/>
      <c r="BY34" s="118"/>
      <c r="BZ34" s="34"/>
      <c r="CA34" s="3">
        <f>(CA6+CA10+CA23-535500)*10%</f>
        <v>148250</v>
      </c>
      <c r="CB34" s="52" t="s">
        <v>125</v>
      </c>
    </row>
    <row r="35" spans="1:80" s="15" customFormat="1" ht="23.25" customHeight="1" x14ac:dyDescent="0.35">
      <c r="A35" s="33" t="s">
        <v>126</v>
      </c>
      <c r="B35" s="42" t="s">
        <v>127</v>
      </c>
      <c r="C35" s="94"/>
      <c r="D35" s="26"/>
      <c r="E35" s="26"/>
      <c r="F35" s="26"/>
      <c r="G35" s="3"/>
      <c r="H35" s="30"/>
      <c r="I35" s="80"/>
      <c r="J35" s="34"/>
      <c r="K35" s="34"/>
      <c r="L35" s="34"/>
      <c r="M35" s="3"/>
      <c r="N35" s="3"/>
      <c r="O35" s="101"/>
      <c r="P35" s="34"/>
      <c r="Q35" s="34"/>
      <c r="R35" s="34"/>
      <c r="S35" s="3"/>
      <c r="T35" s="106"/>
      <c r="U35" s="89"/>
      <c r="V35" s="34"/>
      <c r="W35" s="34"/>
      <c r="X35" s="34"/>
      <c r="Y35" s="3"/>
      <c r="Z35" s="69"/>
      <c r="AA35" s="89"/>
      <c r="AB35" s="34"/>
      <c r="AC35" s="34"/>
      <c r="AD35" s="34"/>
      <c r="AE35" s="3"/>
      <c r="AF35" s="30"/>
      <c r="AG35" s="89"/>
      <c r="AH35" s="34"/>
      <c r="AI35" s="34"/>
      <c r="AJ35" s="34"/>
      <c r="AK35" s="3"/>
      <c r="AL35" s="30"/>
      <c r="AM35" s="89"/>
      <c r="AN35" s="34"/>
      <c r="AO35" s="34"/>
      <c r="AP35" s="34"/>
      <c r="AQ35" s="3"/>
      <c r="AR35" s="30"/>
      <c r="AS35" s="89"/>
      <c r="AT35" s="34"/>
      <c r="AU35" s="34"/>
      <c r="AV35" s="34"/>
      <c r="AW35" s="3"/>
      <c r="AX35" s="30"/>
      <c r="AY35" s="89"/>
      <c r="AZ35" s="34"/>
      <c r="BA35" s="34"/>
      <c r="BB35" s="34"/>
      <c r="BC35" s="3"/>
      <c r="BD35" s="30"/>
      <c r="BE35" s="89"/>
      <c r="BF35" s="34"/>
      <c r="BG35" s="34"/>
      <c r="BH35" s="34"/>
      <c r="BI35" s="3"/>
      <c r="BJ35" s="30"/>
      <c r="BK35" s="89"/>
      <c r="BL35" s="118"/>
      <c r="BM35" s="118"/>
      <c r="BN35" s="34"/>
      <c r="BO35" s="3"/>
      <c r="BP35" s="30"/>
      <c r="BQ35" s="89"/>
      <c r="BR35" s="118"/>
      <c r="BS35" s="118"/>
      <c r="BT35" s="34"/>
      <c r="BU35" s="3"/>
      <c r="BV35" s="106"/>
      <c r="BW35" s="101"/>
      <c r="BX35" s="118"/>
      <c r="BY35" s="118"/>
      <c r="BZ35" s="34"/>
      <c r="CA35" s="3"/>
      <c r="CB35" s="3"/>
    </row>
    <row r="36" spans="1:80" s="15" customFormat="1" ht="23.25" customHeight="1" thickBot="1" x14ac:dyDescent="0.4">
      <c r="A36" s="35">
        <v>5</v>
      </c>
      <c r="B36" s="48" t="s">
        <v>128</v>
      </c>
      <c r="C36" s="92"/>
      <c r="D36" s="36"/>
      <c r="E36" s="36"/>
      <c r="F36" s="36"/>
      <c r="G36" s="37">
        <f>G6+G10+G23-G31</f>
        <v>13818500</v>
      </c>
      <c r="H36" s="38"/>
      <c r="I36" s="83"/>
      <c r="J36" s="34"/>
      <c r="K36" s="34"/>
      <c r="L36" s="34"/>
      <c r="M36" s="3">
        <f>M6+M10+M23-M31</f>
        <v>10876500</v>
      </c>
      <c r="N36" s="3"/>
      <c r="O36" s="104"/>
      <c r="P36" s="34"/>
      <c r="Q36" s="34"/>
      <c r="R36" s="34"/>
      <c r="S36" s="3">
        <f>S6+S10+S23-S31</f>
        <v>9752961.538461538</v>
      </c>
      <c r="T36" s="106"/>
      <c r="U36" s="92"/>
      <c r="V36" s="36"/>
      <c r="W36" s="36"/>
      <c r="X36" s="36"/>
      <c r="Y36" s="37">
        <f>Y6+Y10+Y23-Y31</f>
        <v>11395191.1</v>
      </c>
      <c r="Z36" s="115"/>
      <c r="AA36" s="92"/>
      <c r="AB36" s="36"/>
      <c r="AC36" s="36"/>
      <c r="AD36" s="36"/>
      <c r="AE36" s="37">
        <f>AE6+AE10+AE23-AE31</f>
        <v>16858500</v>
      </c>
      <c r="AF36" s="38"/>
      <c r="AG36" s="92"/>
      <c r="AH36" s="36"/>
      <c r="AI36" s="36"/>
      <c r="AJ36" s="36"/>
      <c r="AK36" s="37">
        <f>AK6+AK10+AK23-AK31</f>
        <v>7651833.0999999996</v>
      </c>
      <c r="AL36" s="38"/>
      <c r="AM36" s="92"/>
      <c r="AN36" s="36"/>
      <c r="AO36" s="36"/>
      <c r="AP36" s="36"/>
      <c r="AQ36" s="37">
        <f>AQ6+AQ10+AQ23-AQ31</f>
        <v>-119500</v>
      </c>
      <c r="AR36" s="38"/>
      <c r="AS36" s="92"/>
      <c r="AT36" s="36"/>
      <c r="AU36" s="36"/>
      <c r="AV36" s="36"/>
      <c r="AW36" s="37">
        <f>AW6+AW10+AW23-AW31</f>
        <v>1614500</v>
      </c>
      <c r="AX36" s="38"/>
      <c r="AY36" s="92"/>
      <c r="AZ36" s="36"/>
      <c r="BA36" s="36"/>
      <c r="BB36" s="36"/>
      <c r="BC36" s="37">
        <f>BC6+BC10+BC23-BC31</f>
        <v>2047833.1</v>
      </c>
      <c r="BD36" s="38"/>
      <c r="BE36" s="92"/>
      <c r="BF36" s="36"/>
      <c r="BG36" s="36"/>
      <c r="BH36" s="36"/>
      <c r="BI36" s="37">
        <f>BI6+BI10+BI23-BI31</f>
        <v>2394500</v>
      </c>
      <c r="BJ36" s="38"/>
      <c r="BK36" s="92"/>
      <c r="BL36" s="126"/>
      <c r="BM36" s="126"/>
      <c r="BN36" s="36"/>
      <c r="BO36" s="37">
        <f>BO6+BO10+BO23-BO31</f>
        <v>-1244000</v>
      </c>
      <c r="BP36" s="38"/>
      <c r="BQ36" s="92"/>
      <c r="BR36" s="126"/>
      <c r="BS36" s="126"/>
      <c r="BT36" s="36"/>
      <c r="BU36" s="37">
        <f>BU6+BU10+BU23-BU31</f>
        <v>3434000</v>
      </c>
      <c r="BV36" s="131"/>
      <c r="BW36" s="104"/>
      <c r="BX36" s="118"/>
      <c r="BY36" s="118"/>
      <c r="BZ36" s="34"/>
      <c r="CA36" s="3">
        <f>CA6+CA10+CA23-CA31</f>
        <v>237750</v>
      </c>
      <c r="CB36" s="3"/>
    </row>
    <row r="37" spans="1:80" ht="34.5" customHeight="1" x14ac:dyDescent="0.4"/>
    <row r="38" spans="1:80" s="1" customFormat="1" ht="47.25" customHeight="1" x14ac:dyDescent="0.35">
      <c r="A38" s="2"/>
      <c r="B38" s="40" t="s">
        <v>129</v>
      </c>
      <c r="C38" s="97"/>
      <c r="D38" s="305">
        <f>SUM(C36:CB36)</f>
        <v>78718568.838461533</v>
      </c>
      <c r="E38" s="306"/>
      <c r="F38" s="306"/>
      <c r="G38" s="14"/>
      <c r="H38" s="14"/>
      <c r="I38" s="85"/>
      <c r="J38" s="57"/>
      <c r="K38" s="57"/>
      <c r="L38" s="57"/>
      <c r="M38" s="39"/>
      <c r="N38" s="39"/>
      <c r="O38" s="85"/>
      <c r="P38" s="57"/>
      <c r="Q38" s="57"/>
      <c r="R38" s="57"/>
      <c r="S38" s="39"/>
      <c r="T38" s="39"/>
      <c r="U38" s="85"/>
      <c r="V38" s="57"/>
      <c r="W38" s="57"/>
      <c r="X38" s="57"/>
      <c r="Y38" s="39"/>
      <c r="Z38" s="67"/>
      <c r="AA38" s="85"/>
      <c r="AB38" s="57"/>
      <c r="AC38" s="57"/>
      <c r="AD38" s="57"/>
      <c r="AE38" s="39"/>
      <c r="AF38" s="39"/>
      <c r="AG38" s="85"/>
      <c r="AH38" s="57"/>
      <c r="AI38" s="57"/>
      <c r="AJ38" s="57"/>
      <c r="AK38" s="39"/>
      <c r="AL38" s="39"/>
      <c r="AM38" s="85"/>
      <c r="AN38" s="57"/>
      <c r="AO38" s="57"/>
      <c r="AP38" s="57"/>
      <c r="AQ38" s="39"/>
      <c r="AR38" s="39"/>
    </row>
    <row r="41" spans="1:80" s="17" customFormat="1" ht="23.25" customHeight="1" x14ac:dyDescent="0.35">
      <c r="C41" s="98"/>
      <c r="G41" s="14"/>
      <c r="H41" s="14"/>
      <c r="I41" s="86"/>
      <c r="J41" s="18"/>
      <c r="K41" s="18"/>
      <c r="L41" s="18"/>
      <c r="M41" s="39"/>
      <c r="N41" s="39"/>
      <c r="O41" s="86"/>
      <c r="P41" s="18"/>
      <c r="Q41" s="18"/>
      <c r="R41" s="18"/>
      <c r="S41" s="39"/>
      <c r="T41" s="39"/>
      <c r="U41" s="86"/>
      <c r="V41" s="18"/>
      <c r="W41" s="18"/>
      <c r="X41" s="18"/>
      <c r="Y41" s="39"/>
      <c r="Z41" s="67"/>
      <c r="AA41" s="86"/>
      <c r="AB41" s="18"/>
      <c r="AC41" s="18"/>
      <c r="AD41" s="18"/>
      <c r="AE41" s="39"/>
      <c r="AF41" s="39"/>
      <c r="AG41" s="86"/>
      <c r="AH41" s="18"/>
      <c r="AI41" s="18"/>
      <c r="AJ41" s="18"/>
      <c r="AK41" s="39"/>
      <c r="AL41" s="39"/>
      <c r="AM41" s="86"/>
      <c r="AN41" s="18"/>
      <c r="AO41" s="18"/>
      <c r="AP41" s="18"/>
      <c r="AQ41" s="39"/>
      <c r="AR41" s="39"/>
      <c r="BL41" s="14"/>
      <c r="BM41" s="14"/>
      <c r="BR41" s="14"/>
      <c r="BS41" s="14"/>
      <c r="BX41" s="14"/>
      <c r="BY41" s="14"/>
    </row>
    <row r="42" spans="1:80" s="17" customFormat="1" ht="31.5" customHeight="1" x14ac:dyDescent="0.35">
      <c r="C42" s="98"/>
      <c r="G42" s="14"/>
      <c r="H42" s="14"/>
      <c r="I42" s="86"/>
      <c r="J42" s="18"/>
      <c r="K42" s="18"/>
      <c r="L42" s="18"/>
      <c r="M42" s="39"/>
      <c r="N42" s="39"/>
      <c r="O42" s="86"/>
      <c r="P42" s="18"/>
      <c r="Q42" s="18"/>
      <c r="R42" s="18"/>
      <c r="S42" s="39"/>
      <c r="T42" s="39"/>
      <c r="U42" s="86"/>
      <c r="V42" s="18"/>
      <c r="W42" s="18"/>
      <c r="X42" s="18"/>
      <c r="Y42" s="39"/>
      <c r="Z42" s="67"/>
      <c r="AA42" s="86"/>
      <c r="AB42" s="18"/>
      <c r="AC42" s="18"/>
      <c r="AD42" s="18"/>
      <c r="AE42" s="39"/>
      <c r="AF42" s="39"/>
      <c r="AG42" s="86"/>
      <c r="AH42" s="18"/>
      <c r="AI42" s="18"/>
      <c r="AJ42" s="18"/>
      <c r="AK42" s="39"/>
      <c r="AL42" s="39"/>
      <c r="AM42" s="86"/>
      <c r="AN42" s="18"/>
      <c r="AO42" s="18"/>
      <c r="AP42" s="18"/>
      <c r="AQ42" s="39"/>
      <c r="AR42" s="39"/>
      <c r="BL42" s="14"/>
      <c r="BM42" s="14"/>
      <c r="BR42" s="14"/>
      <c r="BS42" s="14"/>
      <c r="BX42" s="14"/>
      <c r="BY42" s="14"/>
    </row>
    <row r="43" spans="1:80" s="17" customFormat="1" ht="31.5" customHeight="1" x14ac:dyDescent="0.35">
      <c r="C43" s="98"/>
      <c r="G43" s="14"/>
      <c r="H43" s="14"/>
      <c r="I43" s="86"/>
      <c r="J43" s="18"/>
      <c r="K43" s="18"/>
      <c r="L43" s="18"/>
      <c r="M43" s="39"/>
      <c r="N43" s="39"/>
      <c r="O43" s="86"/>
      <c r="P43" s="18"/>
      <c r="Q43" s="18"/>
      <c r="R43" s="18"/>
      <c r="S43" s="39"/>
      <c r="T43" s="39"/>
      <c r="U43" s="86"/>
      <c r="V43" s="18"/>
      <c r="W43" s="18"/>
      <c r="X43" s="18"/>
      <c r="Y43" s="39"/>
      <c r="Z43" s="67"/>
      <c r="AA43" s="86"/>
      <c r="AB43" s="18"/>
      <c r="AC43" s="18"/>
      <c r="AD43" s="18"/>
      <c r="AE43" s="39"/>
      <c r="AF43" s="39"/>
      <c r="AG43" s="86"/>
      <c r="AH43" s="18"/>
      <c r="AI43" s="18"/>
      <c r="AJ43" s="18"/>
      <c r="AK43" s="39"/>
      <c r="AL43" s="39"/>
      <c r="AM43" s="86"/>
      <c r="AN43" s="18"/>
      <c r="AO43" s="18"/>
      <c r="AP43" s="18"/>
      <c r="AQ43" s="39"/>
      <c r="AR43" s="39"/>
      <c r="BL43" s="14"/>
      <c r="BM43" s="14"/>
      <c r="BR43" s="14"/>
      <c r="BS43" s="14"/>
      <c r="BX43" s="14"/>
      <c r="BY43" s="14"/>
    </row>
    <row r="44" spans="1:80" s="17" customFormat="1" ht="31.5" customHeight="1" x14ac:dyDescent="0.35">
      <c r="C44" s="98"/>
      <c r="G44" s="14"/>
      <c r="H44" s="14"/>
      <c r="I44" s="86"/>
      <c r="J44" s="18"/>
      <c r="K44" s="18"/>
      <c r="L44" s="18"/>
      <c r="M44" s="39"/>
      <c r="N44" s="39"/>
      <c r="O44" s="86"/>
      <c r="P44" s="18"/>
      <c r="Q44" s="18"/>
      <c r="R44" s="18"/>
      <c r="S44" s="39"/>
      <c r="T44" s="39"/>
      <c r="U44" s="86"/>
      <c r="V44" s="18"/>
      <c r="W44" s="18"/>
      <c r="X44" s="18"/>
      <c r="Y44" s="39"/>
      <c r="Z44" s="67"/>
      <c r="AA44" s="86"/>
      <c r="AB44" s="18"/>
      <c r="AC44" s="18"/>
      <c r="AD44" s="18"/>
      <c r="AE44" s="39"/>
      <c r="AF44" s="39"/>
      <c r="AG44" s="86"/>
      <c r="AH44" s="18"/>
      <c r="AI44" s="18"/>
      <c r="AJ44" s="18"/>
      <c r="AK44" s="39"/>
      <c r="AL44" s="39"/>
      <c r="AM44" s="86"/>
      <c r="AN44" s="18"/>
      <c r="AO44" s="18"/>
      <c r="AP44" s="18"/>
      <c r="AQ44" s="39"/>
      <c r="AR44" s="39"/>
      <c r="BL44" s="14"/>
      <c r="BM44" s="14"/>
      <c r="BR44" s="14"/>
      <c r="BS44" s="14"/>
      <c r="BX44" s="14"/>
      <c r="BY44" s="14"/>
    </row>
    <row r="45" spans="1:80" s="17" customFormat="1" ht="31.5" customHeight="1" x14ac:dyDescent="0.35">
      <c r="C45" s="98"/>
      <c r="G45" s="14"/>
      <c r="H45" s="14"/>
      <c r="I45" s="86"/>
      <c r="J45" s="18"/>
      <c r="K45" s="18"/>
      <c r="L45" s="18"/>
      <c r="M45" s="39"/>
      <c r="N45" s="39"/>
      <c r="O45" s="86"/>
      <c r="P45" s="18"/>
      <c r="Q45" s="18"/>
      <c r="R45" s="18"/>
      <c r="S45" s="39"/>
      <c r="T45" s="39"/>
      <c r="U45" s="86"/>
      <c r="V45" s="18"/>
      <c r="W45" s="18"/>
      <c r="X45" s="18"/>
      <c r="Y45" s="39"/>
      <c r="Z45" s="67"/>
      <c r="AA45" s="86"/>
      <c r="AB45" s="18"/>
      <c r="AC45" s="18"/>
      <c r="AD45" s="18"/>
      <c r="AE45" s="39"/>
      <c r="AF45" s="39"/>
      <c r="AG45" s="86"/>
      <c r="AH45" s="18"/>
      <c r="AI45" s="18"/>
      <c r="AJ45" s="18"/>
      <c r="AK45" s="39"/>
      <c r="AL45" s="39"/>
      <c r="AM45" s="86"/>
      <c r="AN45" s="18"/>
      <c r="AO45" s="18"/>
      <c r="AP45" s="18"/>
      <c r="AQ45" s="39"/>
      <c r="AR45" s="39"/>
      <c r="BL45" s="14"/>
      <c r="BM45" s="14"/>
      <c r="BR45" s="14"/>
      <c r="BS45" s="14"/>
      <c r="BX45" s="14"/>
      <c r="BY45" s="14"/>
    </row>
    <row r="46" spans="1:80" s="17" customFormat="1" ht="29.25" customHeight="1" x14ac:dyDescent="0.35">
      <c r="C46" s="98"/>
      <c r="I46" s="86"/>
      <c r="J46" s="18"/>
      <c r="K46" s="18"/>
      <c r="L46" s="18"/>
      <c r="M46" s="18"/>
      <c r="N46" s="18"/>
      <c r="O46" s="86"/>
      <c r="P46" s="18"/>
      <c r="Q46" s="18"/>
      <c r="R46" s="18"/>
      <c r="S46" s="18"/>
      <c r="T46" s="18"/>
      <c r="U46" s="86"/>
      <c r="V46" s="18"/>
      <c r="W46" s="18"/>
      <c r="X46" s="18"/>
      <c r="Y46" s="18"/>
      <c r="Z46" s="68"/>
      <c r="AA46" s="86"/>
      <c r="AB46" s="18"/>
      <c r="AC46" s="18"/>
      <c r="AD46" s="18"/>
      <c r="AE46" s="18"/>
      <c r="AF46" s="18"/>
      <c r="AG46" s="86"/>
      <c r="AH46" s="18"/>
      <c r="AI46" s="18"/>
      <c r="AJ46" s="18"/>
      <c r="AK46" s="18"/>
      <c r="AL46" s="18"/>
      <c r="AM46" s="86"/>
      <c r="AN46" s="18"/>
      <c r="AO46" s="18"/>
      <c r="AP46" s="18"/>
      <c r="AQ46" s="18"/>
      <c r="AR46" s="18"/>
      <c r="BL46" s="14"/>
      <c r="BM46" s="14"/>
      <c r="BR46" s="14"/>
      <c r="BS46" s="14"/>
      <c r="BX46" s="14"/>
      <c r="BY46" s="14"/>
    </row>
    <row r="47" spans="1:80" s="17" customFormat="1" ht="29.25" customHeight="1" x14ac:dyDescent="0.35">
      <c r="C47" s="98"/>
      <c r="G47" s="14"/>
      <c r="H47" s="14"/>
      <c r="I47" s="86"/>
      <c r="J47" s="18"/>
      <c r="K47" s="18"/>
      <c r="L47" s="18"/>
      <c r="M47" s="39"/>
      <c r="N47" s="39"/>
      <c r="O47" s="86"/>
      <c r="P47" s="18"/>
      <c r="Q47" s="18"/>
      <c r="R47" s="18"/>
      <c r="S47" s="39"/>
      <c r="T47" s="39"/>
      <c r="U47" s="86"/>
      <c r="V47" s="18"/>
      <c r="W47" s="18"/>
      <c r="X47" s="18"/>
      <c r="Y47" s="39"/>
      <c r="Z47" s="67"/>
      <c r="AA47" s="86"/>
      <c r="AB47" s="18"/>
      <c r="AC47" s="18"/>
      <c r="AD47" s="18"/>
      <c r="AE47" s="39"/>
      <c r="AF47" s="39"/>
      <c r="AG47" s="86"/>
      <c r="AH47" s="18"/>
      <c r="AI47" s="18"/>
      <c r="AJ47" s="18"/>
      <c r="AK47" s="39"/>
      <c r="AL47" s="39"/>
      <c r="AM47" s="86"/>
      <c r="AN47" s="18"/>
      <c r="AO47" s="18"/>
      <c r="AP47" s="18"/>
      <c r="AQ47" s="39"/>
      <c r="AR47" s="39"/>
      <c r="BL47" s="14"/>
      <c r="BM47" s="14"/>
      <c r="BR47" s="14"/>
      <c r="BS47" s="14"/>
      <c r="BX47" s="14"/>
      <c r="BY47" s="14"/>
    </row>
    <row r="50" spans="3:75" ht="13.9" customHeight="1" x14ac:dyDescent="0.4">
      <c r="C50" s="275" t="s">
        <v>130</v>
      </c>
      <c r="I50" s="275" t="s">
        <v>131</v>
      </c>
      <c r="O50" s="275" t="s">
        <v>132</v>
      </c>
      <c r="U50" s="275" t="s">
        <v>133</v>
      </c>
      <c r="AA50" s="275" t="s">
        <v>134</v>
      </c>
      <c r="AG50" s="275" t="s">
        <v>135</v>
      </c>
      <c r="AM50" s="275" t="s">
        <v>136</v>
      </c>
      <c r="AS50" s="275" t="s">
        <v>137</v>
      </c>
      <c r="AY50" s="275" t="s">
        <v>138</v>
      </c>
      <c r="BE50" s="275" t="s">
        <v>139</v>
      </c>
      <c r="BK50" s="275" t="s">
        <v>140</v>
      </c>
      <c r="BQ50" s="275" t="s">
        <v>141</v>
      </c>
      <c r="BW50" s="275" t="s">
        <v>142</v>
      </c>
    </row>
  </sheetData>
  <mergeCells count="55">
    <mergeCell ref="D38:F38"/>
    <mergeCell ref="AM3:AR3"/>
    <mergeCell ref="A2:B2"/>
    <mergeCell ref="BK2:BP2"/>
    <mergeCell ref="BP11:BP17"/>
    <mergeCell ref="AS3:AX3"/>
    <mergeCell ref="A5:B5"/>
    <mergeCell ref="U4:Z4"/>
    <mergeCell ref="C3:H3"/>
    <mergeCell ref="O3:T3"/>
    <mergeCell ref="Z11:Z17"/>
    <mergeCell ref="AY3:BD3"/>
    <mergeCell ref="AM2:AR2"/>
    <mergeCell ref="BE3:BJ3"/>
    <mergeCell ref="AG4:AL4"/>
    <mergeCell ref="I2:N2"/>
    <mergeCell ref="C2:H2"/>
    <mergeCell ref="BW3:CB3"/>
    <mergeCell ref="T11:T17"/>
    <mergeCell ref="AY2:BD2"/>
    <mergeCell ref="BE2:BJ2"/>
    <mergeCell ref="AF11:AF17"/>
    <mergeCell ref="BQ2:BV2"/>
    <mergeCell ref="AM4:AR4"/>
    <mergeCell ref="AR11:AR17"/>
    <mergeCell ref="AA3:AF3"/>
    <mergeCell ref="AG3:AL3"/>
    <mergeCell ref="I4:N4"/>
    <mergeCell ref="N11:N17"/>
    <mergeCell ref="O2:T2"/>
    <mergeCell ref="AA2:AF2"/>
    <mergeCell ref="CB11:CB17"/>
    <mergeCell ref="BV11:BV17"/>
    <mergeCell ref="AA4:AF4"/>
    <mergeCell ref="U3:Z3"/>
    <mergeCell ref="BW4:CB4"/>
    <mergeCell ref="AS2:AX2"/>
    <mergeCell ref="BK3:BP3"/>
    <mergeCell ref="BQ3:BV3"/>
    <mergeCell ref="AL11:AL17"/>
    <mergeCell ref="AS4:AX4"/>
    <mergeCell ref="AY4:BD4"/>
    <mergeCell ref="BE4:BJ4"/>
    <mergeCell ref="AX11:AX17"/>
    <mergeCell ref="H11:H17"/>
    <mergeCell ref="BK4:BP4"/>
    <mergeCell ref="BD11:BD17"/>
    <mergeCell ref="BJ11:BJ17"/>
    <mergeCell ref="I3:N3"/>
    <mergeCell ref="C4:H4"/>
    <mergeCell ref="U2:Z2"/>
    <mergeCell ref="BQ4:BV4"/>
    <mergeCell ref="AG2:AL2"/>
    <mergeCell ref="BW2:CB2"/>
    <mergeCell ref="O4:T4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50"/>
  <sheetViews>
    <sheetView zoomScaleNormal="100" workbookViewId="0">
      <pane xSplit="2" ySplit="5" topLeftCell="CC46" activePane="bottomRight" state="frozen"/>
      <selection pane="topRight" activeCell="C1" sqref="C1"/>
      <selection pane="bottomLeft" activeCell="A6" sqref="A6"/>
      <selection pane="bottomRight" activeCell="CC50" sqref="CC50"/>
    </sheetView>
  </sheetViews>
  <sheetFormatPr defaultRowHeight="12.75" x14ac:dyDescent="0.35"/>
  <cols>
    <col min="1" max="1" width="5.6875" style="12" customWidth="1"/>
    <col min="2" max="2" width="32.3125" style="9" customWidth="1"/>
    <col min="3" max="3" width="7.6875" style="84" customWidth="1"/>
    <col min="4" max="6" width="6.3125" style="55" customWidth="1"/>
    <col min="7" max="8" width="12.5625" style="56" customWidth="1"/>
    <col min="9" max="9" width="7.6875" style="84" customWidth="1"/>
    <col min="10" max="12" width="6.3125" style="55" customWidth="1"/>
    <col min="13" max="13" width="11.5625" style="56" customWidth="1"/>
    <col min="14" max="14" width="12.5625" style="56" customWidth="1"/>
    <col min="15" max="15" width="7.6875" style="84" customWidth="1"/>
    <col min="16" max="18" width="6.3125" style="55" customWidth="1"/>
    <col min="19" max="20" width="12.5625" style="56" customWidth="1"/>
    <col min="21" max="21" width="7.6875" style="84" customWidth="1"/>
    <col min="22" max="24" width="6.3125" style="55" customWidth="1"/>
    <col min="25" max="26" width="12.5625" style="56" customWidth="1"/>
    <col min="27" max="27" width="7.6875" style="84" customWidth="1"/>
    <col min="28" max="30" width="6.3125" style="55" customWidth="1"/>
    <col min="31" max="32" width="12.5625" style="56" customWidth="1"/>
    <col min="33" max="33" width="7.6875" style="84" customWidth="1"/>
    <col min="34" max="36" width="6.3125" style="55" customWidth="1"/>
    <col min="37" max="38" width="12.5625" style="56" customWidth="1"/>
    <col min="39" max="39" width="7.6875" style="84" customWidth="1"/>
    <col min="40" max="42" width="6.3125" style="55" customWidth="1"/>
    <col min="43" max="44" width="12.5625" style="56" customWidth="1"/>
    <col min="45" max="45" width="7.6875" style="84" customWidth="1"/>
    <col min="46" max="48" width="6.3125" style="55" customWidth="1"/>
    <col min="49" max="50" width="12.5625" style="56" customWidth="1"/>
    <col min="51" max="51" width="7.6875" style="84" customWidth="1"/>
    <col min="52" max="54" width="6.3125" style="55" customWidth="1"/>
    <col min="55" max="56" width="12.5625" style="56" customWidth="1"/>
    <col min="57" max="57" width="7.6875" style="84" customWidth="1"/>
    <col min="58" max="60" width="6.3125" style="55" customWidth="1"/>
    <col min="61" max="62" width="12.5625" style="56" customWidth="1"/>
    <col min="63" max="63" width="7.6875" style="84" customWidth="1"/>
    <col min="64" max="66" width="6.3125" style="55" customWidth="1"/>
    <col min="67" max="68" width="12.5625" style="56" customWidth="1"/>
    <col min="69" max="69" width="7.6875" style="84" customWidth="1"/>
    <col min="70" max="72" width="6.3125" style="55" customWidth="1"/>
    <col min="73" max="74" width="12.5625" style="56" customWidth="1"/>
    <col min="75" max="75" width="7.6875" style="84" customWidth="1"/>
    <col min="76" max="78" width="6.3125" style="55" customWidth="1"/>
    <col min="79" max="80" width="12.5625" style="56" customWidth="1"/>
    <col min="81" max="81" width="7.6875" style="84" customWidth="1"/>
    <col min="82" max="84" width="6.3125" style="55" customWidth="1"/>
    <col min="85" max="86" width="12.5625" style="56" customWidth="1"/>
    <col min="87" max="87" width="7.6875" style="84" customWidth="1"/>
    <col min="88" max="90" width="6.3125" style="55" customWidth="1"/>
    <col min="91" max="92" width="12.5625" style="56" customWidth="1"/>
    <col min="93" max="161" width="9.125" style="9" customWidth="1"/>
    <col min="162" max="162" width="7" style="9" customWidth="1"/>
    <col min="163" max="163" width="28.875" style="9" customWidth="1"/>
    <col min="164" max="165" width="11.4375" style="9" customWidth="1"/>
    <col min="166" max="166" width="12.5625" style="9" customWidth="1"/>
    <col min="167" max="177" width="11.4375" style="9" customWidth="1"/>
    <col min="178" max="178" width="29.875" style="9" customWidth="1"/>
    <col min="179" max="179" width="21.875" style="9" customWidth="1"/>
    <col min="180" max="417" width="9.125" style="9" customWidth="1"/>
    <col min="418" max="418" width="7" style="9" customWidth="1"/>
    <col min="419" max="419" width="28.875" style="9" customWidth="1"/>
    <col min="420" max="421" width="11.4375" style="9" customWidth="1"/>
    <col min="422" max="422" width="12.5625" style="9" customWidth="1"/>
    <col min="423" max="433" width="11.4375" style="9" customWidth="1"/>
    <col min="434" max="434" width="29.875" style="9" customWidth="1"/>
    <col min="435" max="435" width="21.875" style="9" customWidth="1"/>
    <col min="436" max="673" width="9.125" style="9" customWidth="1"/>
    <col min="674" max="674" width="7" style="9" customWidth="1"/>
    <col min="675" max="675" width="28.875" style="9" customWidth="1"/>
    <col min="676" max="677" width="11.4375" style="9" customWidth="1"/>
    <col min="678" max="678" width="12.5625" style="9" customWidth="1"/>
    <col min="679" max="689" width="11.4375" style="9" customWidth="1"/>
    <col min="690" max="690" width="29.875" style="9" customWidth="1"/>
    <col min="691" max="691" width="21.875" style="9" customWidth="1"/>
    <col min="692" max="929" width="9.125" style="9" customWidth="1"/>
    <col min="930" max="930" width="7" style="9" customWidth="1"/>
    <col min="931" max="931" width="28.875" style="9" customWidth="1"/>
    <col min="932" max="933" width="11.4375" style="9" customWidth="1"/>
    <col min="934" max="934" width="12.5625" style="9" customWidth="1"/>
    <col min="935" max="945" width="11.4375" style="9" customWidth="1"/>
    <col min="946" max="946" width="29.875" style="9" customWidth="1"/>
    <col min="947" max="947" width="21.875" style="9" customWidth="1"/>
    <col min="948" max="1185" width="9.125" style="9" customWidth="1"/>
    <col min="1186" max="1186" width="7" style="9" customWidth="1"/>
    <col min="1187" max="1187" width="28.875" style="9" customWidth="1"/>
    <col min="1188" max="1189" width="11.4375" style="9" customWidth="1"/>
    <col min="1190" max="1190" width="12.5625" style="9" customWidth="1"/>
    <col min="1191" max="1201" width="11.4375" style="9" customWidth="1"/>
    <col min="1202" max="1202" width="29.875" style="9" customWidth="1"/>
    <col min="1203" max="1203" width="21.875" style="9" customWidth="1"/>
    <col min="1204" max="1441" width="9.125" style="9" customWidth="1"/>
    <col min="1442" max="1442" width="7" style="9" customWidth="1"/>
    <col min="1443" max="1443" width="28.875" style="9" customWidth="1"/>
    <col min="1444" max="1445" width="11.4375" style="9" customWidth="1"/>
    <col min="1446" max="1446" width="12.5625" style="9" customWidth="1"/>
    <col min="1447" max="1457" width="11.4375" style="9" customWidth="1"/>
    <col min="1458" max="1458" width="29.875" style="9" customWidth="1"/>
    <col min="1459" max="1459" width="21.875" style="9" customWidth="1"/>
    <col min="1460" max="1697" width="9.125" style="9" customWidth="1"/>
    <col min="1698" max="1698" width="7" style="9" customWidth="1"/>
    <col min="1699" max="1699" width="28.875" style="9" customWidth="1"/>
    <col min="1700" max="1701" width="11.4375" style="9" customWidth="1"/>
    <col min="1702" max="1702" width="12.5625" style="9" customWidth="1"/>
    <col min="1703" max="1713" width="11.4375" style="9" customWidth="1"/>
    <col min="1714" max="1714" width="29.875" style="9" customWidth="1"/>
    <col min="1715" max="1715" width="21.875" style="9" customWidth="1"/>
    <col min="1716" max="1953" width="9.125" style="9" customWidth="1"/>
    <col min="1954" max="1954" width="7" style="9" customWidth="1"/>
    <col min="1955" max="1955" width="28.875" style="9" customWidth="1"/>
    <col min="1956" max="1957" width="11.4375" style="9" customWidth="1"/>
    <col min="1958" max="1958" width="12.5625" style="9" customWidth="1"/>
    <col min="1959" max="1969" width="11.4375" style="9" customWidth="1"/>
    <col min="1970" max="1970" width="29.875" style="9" customWidth="1"/>
    <col min="1971" max="1971" width="21.875" style="9" customWidth="1"/>
    <col min="1972" max="2209" width="9.125" style="9" customWidth="1"/>
    <col min="2210" max="2210" width="7" style="9" customWidth="1"/>
    <col min="2211" max="2211" width="28.875" style="9" customWidth="1"/>
    <col min="2212" max="2213" width="11.4375" style="9" customWidth="1"/>
    <col min="2214" max="2214" width="12.5625" style="9" customWidth="1"/>
    <col min="2215" max="2225" width="11.4375" style="9" customWidth="1"/>
    <col min="2226" max="2226" width="29.875" style="9" customWidth="1"/>
    <col min="2227" max="2227" width="21.875" style="9" customWidth="1"/>
    <col min="2228" max="2465" width="9.125" style="9" customWidth="1"/>
    <col min="2466" max="2466" width="7" style="9" customWidth="1"/>
    <col min="2467" max="2467" width="28.875" style="9" customWidth="1"/>
    <col min="2468" max="2469" width="11.4375" style="9" customWidth="1"/>
    <col min="2470" max="2470" width="12.5625" style="9" customWidth="1"/>
    <col min="2471" max="2481" width="11.4375" style="9" customWidth="1"/>
    <col min="2482" max="2482" width="29.875" style="9" customWidth="1"/>
    <col min="2483" max="2483" width="21.875" style="9" customWidth="1"/>
    <col min="2484" max="2721" width="9.125" style="9" customWidth="1"/>
    <col min="2722" max="2722" width="7" style="9" customWidth="1"/>
    <col min="2723" max="2723" width="28.875" style="9" customWidth="1"/>
    <col min="2724" max="2725" width="11.4375" style="9" customWidth="1"/>
    <col min="2726" max="2726" width="12.5625" style="9" customWidth="1"/>
    <col min="2727" max="2737" width="11.4375" style="9" customWidth="1"/>
    <col min="2738" max="2738" width="29.875" style="9" customWidth="1"/>
    <col min="2739" max="2739" width="21.875" style="9" customWidth="1"/>
    <col min="2740" max="2977" width="9.125" style="9" customWidth="1"/>
    <col min="2978" max="2978" width="7" style="9" customWidth="1"/>
    <col min="2979" max="2979" width="28.875" style="9" customWidth="1"/>
    <col min="2980" max="2981" width="11.4375" style="9" customWidth="1"/>
    <col min="2982" max="2982" width="12.5625" style="9" customWidth="1"/>
    <col min="2983" max="2993" width="11.4375" style="9" customWidth="1"/>
    <col min="2994" max="2994" width="29.875" style="9" customWidth="1"/>
    <col min="2995" max="2995" width="21.875" style="9" customWidth="1"/>
    <col min="2996" max="3233" width="9.125" style="9" customWidth="1"/>
    <col min="3234" max="3234" width="7" style="9" customWidth="1"/>
    <col min="3235" max="3235" width="28.875" style="9" customWidth="1"/>
    <col min="3236" max="3237" width="11.4375" style="9" customWidth="1"/>
    <col min="3238" max="3238" width="12.5625" style="9" customWidth="1"/>
    <col min="3239" max="3249" width="11.4375" style="9" customWidth="1"/>
    <col min="3250" max="3250" width="29.875" style="9" customWidth="1"/>
    <col min="3251" max="3251" width="21.875" style="9" customWidth="1"/>
    <col min="3252" max="3489" width="9.125" style="9" customWidth="1"/>
    <col min="3490" max="3490" width="7" style="9" customWidth="1"/>
    <col min="3491" max="3491" width="28.875" style="9" customWidth="1"/>
    <col min="3492" max="3493" width="11.4375" style="9" customWidth="1"/>
    <col min="3494" max="3494" width="12.5625" style="9" customWidth="1"/>
    <col min="3495" max="3505" width="11.4375" style="9" customWidth="1"/>
    <col min="3506" max="3506" width="29.875" style="9" customWidth="1"/>
    <col min="3507" max="3507" width="21.875" style="9" customWidth="1"/>
    <col min="3508" max="3745" width="9.125" style="9" customWidth="1"/>
    <col min="3746" max="3746" width="7" style="9" customWidth="1"/>
    <col min="3747" max="3747" width="28.875" style="9" customWidth="1"/>
    <col min="3748" max="3749" width="11.4375" style="9" customWidth="1"/>
    <col min="3750" max="3750" width="12.5625" style="9" customWidth="1"/>
    <col min="3751" max="3761" width="11.4375" style="9" customWidth="1"/>
    <col min="3762" max="3762" width="29.875" style="9" customWidth="1"/>
    <col min="3763" max="3763" width="21.875" style="9" customWidth="1"/>
    <col min="3764" max="4001" width="9.125" style="9" customWidth="1"/>
    <col min="4002" max="4002" width="7" style="9" customWidth="1"/>
    <col min="4003" max="4003" width="28.875" style="9" customWidth="1"/>
    <col min="4004" max="4005" width="11.4375" style="9" customWidth="1"/>
    <col min="4006" max="4006" width="12.5625" style="9" customWidth="1"/>
    <col min="4007" max="4017" width="11.4375" style="9" customWidth="1"/>
    <col min="4018" max="4018" width="29.875" style="9" customWidth="1"/>
    <col min="4019" max="4019" width="21.875" style="9" customWidth="1"/>
    <col min="4020" max="4257" width="9.125" style="9" customWidth="1"/>
    <col min="4258" max="4258" width="7" style="9" customWidth="1"/>
    <col min="4259" max="4259" width="28.875" style="9" customWidth="1"/>
    <col min="4260" max="4261" width="11.4375" style="9" customWidth="1"/>
    <col min="4262" max="4262" width="12.5625" style="9" customWidth="1"/>
    <col min="4263" max="4273" width="11.4375" style="9" customWidth="1"/>
    <col min="4274" max="4274" width="29.875" style="9" customWidth="1"/>
    <col min="4275" max="4275" width="21.875" style="9" customWidth="1"/>
    <col min="4276" max="4513" width="9.125" style="9" customWidth="1"/>
    <col min="4514" max="4514" width="7" style="9" customWidth="1"/>
    <col min="4515" max="4515" width="28.875" style="9" customWidth="1"/>
    <col min="4516" max="4517" width="11.4375" style="9" customWidth="1"/>
    <col min="4518" max="4518" width="12.5625" style="9" customWidth="1"/>
    <col min="4519" max="4529" width="11.4375" style="9" customWidth="1"/>
    <col min="4530" max="4530" width="29.875" style="9" customWidth="1"/>
    <col min="4531" max="4531" width="21.875" style="9" customWidth="1"/>
    <col min="4532" max="4769" width="9.125" style="9" customWidth="1"/>
    <col min="4770" max="4770" width="7" style="9" customWidth="1"/>
    <col min="4771" max="4771" width="28.875" style="9" customWidth="1"/>
    <col min="4772" max="4773" width="11.4375" style="9" customWidth="1"/>
    <col min="4774" max="4774" width="12.5625" style="9" customWidth="1"/>
    <col min="4775" max="4785" width="11.4375" style="9" customWidth="1"/>
    <col min="4786" max="4786" width="29.875" style="9" customWidth="1"/>
    <col min="4787" max="4787" width="21.875" style="9" customWidth="1"/>
    <col min="4788" max="5025" width="9.125" style="9" customWidth="1"/>
    <col min="5026" max="5026" width="7" style="9" customWidth="1"/>
    <col min="5027" max="5027" width="28.875" style="9" customWidth="1"/>
    <col min="5028" max="5029" width="11.4375" style="9" customWidth="1"/>
    <col min="5030" max="5030" width="12.5625" style="9" customWidth="1"/>
    <col min="5031" max="5041" width="11.4375" style="9" customWidth="1"/>
    <col min="5042" max="5042" width="29.875" style="9" customWidth="1"/>
    <col min="5043" max="5043" width="21.875" style="9" customWidth="1"/>
    <col min="5044" max="5281" width="9.125" style="9" customWidth="1"/>
    <col min="5282" max="5282" width="7" style="9" customWidth="1"/>
    <col min="5283" max="5283" width="28.875" style="9" customWidth="1"/>
    <col min="5284" max="5285" width="11.4375" style="9" customWidth="1"/>
    <col min="5286" max="5286" width="12.5625" style="9" customWidth="1"/>
    <col min="5287" max="5297" width="11.4375" style="9" customWidth="1"/>
    <col min="5298" max="5298" width="29.875" style="9" customWidth="1"/>
    <col min="5299" max="5299" width="21.875" style="9" customWidth="1"/>
    <col min="5300" max="5537" width="9.125" style="9" customWidth="1"/>
    <col min="5538" max="5538" width="7" style="9" customWidth="1"/>
    <col min="5539" max="5539" width="28.875" style="9" customWidth="1"/>
    <col min="5540" max="5541" width="11.4375" style="9" customWidth="1"/>
    <col min="5542" max="5542" width="12.5625" style="9" customWidth="1"/>
    <col min="5543" max="5553" width="11.4375" style="9" customWidth="1"/>
    <col min="5554" max="5554" width="29.875" style="9" customWidth="1"/>
    <col min="5555" max="5555" width="21.875" style="9" customWidth="1"/>
    <col min="5556" max="5793" width="9.125" style="9" customWidth="1"/>
    <col min="5794" max="5794" width="7" style="9" customWidth="1"/>
    <col min="5795" max="5795" width="28.875" style="9" customWidth="1"/>
    <col min="5796" max="5797" width="11.4375" style="9" customWidth="1"/>
    <col min="5798" max="5798" width="12.5625" style="9" customWidth="1"/>
    <col min="5799" max="5809" width="11.4375" style="9" customWidth="1"/>
    <col min="5810" max="5810" width="29.875" style="9" customWidth="1"/>
    <col min="5811" max="5811" width="21.875" style="9" customWidth="1"/>
    <col min="5812" max="6049" width="9.125" style="9" customWidth="1"/>
    <col min="6050" max="6050" width="7" style="9" customWidth="1"/>
    <col min="6051" max="6051" width="28.875" style="9" customWidth="1"/>
    <col min="6052" max="6053" width="11.4375" style="9" customWidth="1"/>
    <col min="6054" max="6054" width="12.5625" style="9" customWidth="1"/>
    <col min="6055" max="6065" width="11.4375" style="9" customWidth="1"/>
    <col min="6066" max="6066" width="29.875" style="9" customWidth="1"/>
    <col min="6067" max="6067" width="21.875" style="9" customWidth="1"/>
    <col min="6068" max="6305" width="9.125" style="9" customWidth="1"/>
    <col min="6306" max="6306" width="7" style="9" customWidth="1"/>
    <col min="6307" max="6307" width="28.875" style="9" customWidth="1"/>
    <col min="6308" max="6309" width="11.4375" style="9" customWidth="1"/>
    <col min="6310" max="6310" width="12.5625" style="9" customWidth="1"/>
    <col min="6311" max="6321" width="11.4375" style="9" customWidth="1"/>
    <col min="6322" max="6322" width="29.875" style="9" customWidth="1"/>
    <col min="6323" max="6323" width="21.875" style="9" customWidth="1"/>
    <col min="6324" max="6561" width="9.125" style="9" customWidth="1"/>
    <col min="6562" max="6562" width="7" style="9" customWidth="1"/>
    <col min="6563" max="6563" width="28.875" style="9" customWidth="1"/>
    <col min="6564" max="6565" width="11.4375" style="9" customWidth="1"/>
    <col min="6566" max="6566" width="12.5625" style="9" customWidth="1"/>
    <col min="6567" max="6577" width="11.4375" style="9" customWidth="1"/>
    <col min="6578" max="6578" width="29.875" style="9" customWidth="1"/>
    <col min="6579" max="6579" width="21.875" style="9" customWidth="1"/>
    <col min="6580" max="6817" width="9.125" style="9" customWidth="1"/>
    <col min="6818" max="6818" width="7" style="9" customWidth="1"/>
    <col min="6819" max="6819" width="28.875" style="9" customWidth="1"/>
    <col min="6820" max="6821" width="11.4375" style="9" customWidth="1"/>
    <col min="6822" max="6822" width="12.5625" style="9" customWidth="1"/>
    <col min="6823" max="6833" width="11.4375" style="9" customWidth="1"/>
    <col min="6834" max="6834" width="29.875" style="9" customWidth="1"/>
    <col min="6835" max="6835" width="21.875" style="9" customWidth="1"/>
    <col min="6836" max="7073" width="9.125" style="9" customWidth="1"/>
    <col min="7074" max="7074" width="7" style="9" customWidth="1"/>
    <col min="7075" max="7075" width="28.875" style="9" customWidth="1"/>
    <col min="7076" max="7077" width="11.4375" style="9" customWidth="1"/>
    <col min="7078" max="7078" width="12.5625" style="9" customWidth="1"/>
    <col min="7079" max="7089" width="11.4375" style="9" customWidth="1"/>
    <col min="7090" max="7090" width="29.875" style="9" customWidth="1"/>
    <col min="7091" max="7091" width="21.875" style="9" customWidth="1"/>
    <col min="7092" max="7329" width="9.125" style="9" customWidth="1"/>
    <col min="7330" max="7330" width="7" style="9" customWidth="1"/>
    <col min="7331" max="7331" width="28.875" style="9" customWidth="1"/>
    <col min="7332" max="7333" width="11.4375" style="9" customWidth="1"/>
    <col min="7334" max="7334" width="12.5625" style="9" customWidth="1"/>
    <col min="7335" max="7345" width="11.4375" style="9" customWidth="1"/>
    <col min="7346" max="7346" width="29.875" style="9" customWidth="1"/>
    <col min="7347" max="7347" width="21.875" style="9" customWidth="1"/>
    <col min="7348" max="7585" width="9.125" style="9" customWidth="1"/>
    <col min="7586" max="7586" width="7" style="9" customWidth="1"/>
    <col min="7587" max="7587" width="28.875" style="9" customWidth="1"/>
    <col min="7588" max="7589" width="11.4375" style="9" customWidth="1"/>
    <col min="7590" max="7590" width="12.5625" style="9" customWidth="1"/>
    <col min="7591" max="7601" width="11.4375" style="9" customWidth="1"/>
    <col min="7602" max="7602" width="29.875" style="9" customWidth="1"/>
    <col min="7603" max="7603" width="21.875" style="9" customWidth="1"/>
    <col min="7604" max="7841" width="9.125" style="9" customWidth="1"/>
    <col min="7842" max="7842" width="7" style="9" customWidth="1"/>
    <col min="7843" max="7843" width="28.875" style="9" customWidth="1"/>
    <col min="7844" max="7845" width="11.4375" style="9" customWidth="1"/>
    <col min="7846" max="7846" width="12.5625" style="9" customWidth="1"/>
    <col min="7847" max="7857" width="11.4375" style="9" customWidth="1"/>
    <col min="7858" max="7858" width="29.875" style="9" customWidth="1"/>
    <col min="7859" max="7859" width="21.875" style="9" customWidth="1"/>
    <col min="7860" max="8097" width="9.125" style="9" customWidth="1"/>
    <col min="8098" max="8098" width="7" style="9" customWidth="1"/>
    <col min="8099" max="8099" width="28.875" style="9" customWidth="1"/>
    <col min="8100" max="8101" width="11.4375" style="9" customWidth="1"/>
    <col min="8102" max="8102" width="12.5625" style="9" customWidth="1"/>
    <col min="8103" max="8113" width="11.4375" style="9" customWidth="1"/>
    <col min="8114" max="8114" width="29.875" style="9" customWidth="1"/>
    <col min="8115" max="8115" width="21.875" style="9" customWidth="1"/>
    <col min="8116" max="8353" width="9.125" style="9" customWidth="1"/>
    <col min="8354" max="8354" width="7" style="9" customWidth="1"/>
    <col min="8355" max="8355" width="28.875" style="9" customWidth="1"/>
    <col min="8356" max="8357" width="11.4375" style="9" customWidth="1"/>
    <col min="8358" max="8358" width="12.5625" style="9" customWidth="1"/>
    <col min="8359" max="8369" width="11.4375" style="9" customWidth="1"/>
    <col min="8370" max="8370" width="29.875" style="9" customWidth="1"/>
    <col min="8371" max="8371" width="21.875" style="9" customWidth="1"/>
    <col min="8372" max="8609" width="9.125" style="9" customWidth="1"/>
    <col min="8610" max="8610" width="7" style="9" customWidth="1"/>
    <col min="8611" max="8611" width="28.875" style="9" customWidth="1"/>
    <col min="8612" max="8613" width="11.4375" style="9" customWidth="1"/>
    <col min="8614" max="8614" width="12.5625" style="9" customWidth="1"/>
    <col min="8615" max="8625" width="11.4375" style="9" customWidth="1"/>
    <col min="8626" max="8626" width="29.875" style="9" customWidth="1"/>
    <col min="8627" max="8627" width="21.875" style="9" customWidth="1"/>
    <col min="8628" max="8865" width="9.125" style="9" customWidth="1"/>
    <col min="8866" max="8866" width="7" style="9" customWidth="1"/>
    <col min="8867" max="8867" width="28.875" style="9" customWidth="1"/>
    <col min="8868" max="8869" width="11.4375" style="9" customWidth="1"/>
    <col min="8870" max="8870" width="12.5625" style="9" customWidth="1"/>
    <col min="8871" max="8881" width="11.4375" style="9" customWidth="1"/>
    <col min="8882" max="8882" width="29.875" style="9" customWidth="1"/>
    <col min="8883" max="8883" width="21.875" style="9" customWidth="1"/>
    <col min="8884" max="9121" width="9.125" style="9" customWidth="1"/>
    <col min="9122" max="9122" width="7" style="9" customWidth="1"/>
    <col min="9123" max="9123" width="28.875" style="9" customWidth="1"/>
    <col min="9124" max="9125" width="11.4375" style="9" customWidth="1"/>
    <col min="9126" max="9126" width="12.5625" style="9" customWidth="1"/>
    <col min="9127" max="9137" width="11.4375" style="9" customWidth="1"/>
    <col min="9138" max="9138" width="29.875" style="9" customWidth="1"/>
    <col min="9139" max="9139" width="21.875" style="9" customWidth="1"/>
    <col min="9140" max="9377" width="9.125" style="9" customWidth="1"/>
    <col min="9378" max="9378" width="7" style="9" customWidth="1"/>
    <col min="9379" max="9379" width="28.875" style="9" customWidth="1"/>
    <col min="9380" max="9381" width="11.4375" style="9" customWidth="1"/>
    <col min="9382" max="9382" width="12.5625" style="9" customWidth="1"/>
    <col min="9383" max="9393" width="11.4375" style="9" customWidth="1"/>
    <col min="9394" max="9394" width="29.875" style="9" customWidth="1"/>
    <col min="9395" max="9395" width="21.875" style="9" customWidth="1"/>
    <col min="9396" max="9633" width="9.125" style="9" customWidth="1"/>
    <col min="9634" max="9634" width="7" style="9" customWidth="1"/>
    <col min="9635" max="9635" width="28.875" style="9" customWidth="1"/>
    <col min="9636" max="9637" width="11.4375" style="9" customWidth="1"/>
    <col min="9638" max="9638" width="12.5625" style="9" customWidth="1"/>
    <col min="9639" max="9649" width="11.4375" style="9" customWidth="1"/>
    <col min="9650" max="9650" width="29.875" style="9" customWidth="1"/>
    <col min="9651" max="9651" width="21.875" style="9" customWidth="1"/>
    <col min="9652" max="9889" width="9.125" style="9" customWidth="1"/>
    <col min="9890" max="9890" width="7" style="9" customWidth="1"/>
    <col min="9891" max="9891" width="28.875" style="9" customWidth="1"/>
    <col min="9892" max="9893" width="11.4375" style="9" customWidth="1"/>
    <col min="9894" max="9894" width="12.5625" style="9" customWidth="1"/>
    <col min="9895" max="9905" width="11.4375" style="9" customWidth="1"/>
    <col min="9906" max="9906" width="29.875" style="9" customWidth="1"/>
    <col min="9907" max="9907" width="21.875" style="9" customWidth="1"/>
    <col min="9908" max="10145" width="9.125" style="9" customWidth="1"/>
    <col min="10146" max="10146" width="7" style="9" customWidth="1"/>
    <col min="10147" max="10147" width="28.875" style="9" customWidth="1"/>
    <col min="10148" max="10149" width="11.4375" style="9" customWidth="1"/>
    <col min="10150" max="10150" width="12.5625" style="9" customWidth="1"/>
    <col min="10151" max="10161" width="11.4375" style="9" customWidth="1"/>
    <col min="10162" max="10162" width="29.875" style="9" customWidth="1"/>
    <col min="10163" max="10163" width="21.875" style="9" customWidth="1"/>
    <col min="10164" max="10401" width="9.125" style="9" customWidth="1"/>
    <col min="10402" max="10402" width="7" style="9" customWidth="1"/>
    <col min="10403" max="10403" width="28.875" style="9" customWidth="1"/>
    <col min="10404" max="10405" width="11.4375" style="9" customWidth="1"/>
    <col min="10406" max="10406" width="12.5625" style="9" customWidth="1"/>
    <col min="10407" max="10417" width="11.4375" style="9" customWidth="1"/>
    <col min="10418" max="10418" width="29.875" style="9" customWidth="1"/>
    <col min="10419" max="10419" width="21.875" style="9" customWidth="1"/>
    <col min="10420" max="10657" width="9.125" style="9" customWidth="1"/>
    <col min="10658" max="10658" width="7" style="9" customWidth="1"/>
    <col min="10659" max="10659" width="28.875" style="9" customWidth="1"/>
    <col min="10660" max="10661" width="11.4375" style="9" customWidth="1"/>
    <col min="10662" max="10662" width="12.5625" style="9" customWidth="1"/>
    <col min="10663" max="10673" width="11.4375" style="9" customWidth="1"/>
    <col min="10674" max="10674" width="29.875" style="9" customWidth="1"/>
    <col min="10675" max="10675" width="21.875" style="9" customWidth="1"/>
    <col min="10676" max="10913" width="9.125" style="9" customWidth="1"/>
    <col min="10914" max="10914" width="7" style="9" customWidth="1"/>
    <col min="10915" max="10915" width="28.875" style="9" customWidth="1"/>
    <col min="10916" max="10917" width="11.4375" style="9" customWidth="1"/>
    <col min="10918" max="10918" width="12.5625" style="9" customWidth="1"/>
    <col min="10919" max="10929" width="11.4375" style="9" customWidth="1"/>
    <col min="10930" max="10930" width="29.875" style="9" customWidth="1"/>
    <col min="10931" max="10931" width="21.875" style="9" customWidth="1"/>
    <col min="10932" max="11169" width="9.125" style="9" customWidth="1"/>
    <col min="11170" max="11170" width="7" style="9" customWidth="1"/>
    <col min="11171" max="11171" width="28.875" style="9" customWidth="1"/>
    <col min="11172" max="11173" width="11.4375" style="9" customWidth="1"/>
    <col min="11174" max="11174" width="12.5625" style="9" customWidth="1"/>
    <col min="11175" max="11185" width="11.4375" style="9" customWidth="1"/>
    <col min="11186" max="11186" width="29.875" style="9" customWidth="1"/>
    <col min="11187" max="11187" width="21.875" style="9" customWidth="1"/>
    <col min="11188" max="11425" width="9.125" style="9" customWidth="1"/>
    <col min="11426" max="11426" width="7" style="9" customWidth="1"/>
    <col min="11427" max="11427" width="28.875" style="9" customWidth="1"/>
    <col min="11428" max="11429" width="11.4375" style="9" customWidth="1"/>
    <col min="11430" max="11430" width="12.5625" style="9" customWidth="1"/>
    <col min="11431" max="11441" width="11.4375" style="9" customWidth="1"/>
    <col min="11442" max="11442" width="29.875" style="9" customWidth="1"/>
    <col min="11443" max="11443" width="21.875" style="9" customWidth="1"/>
    <col min="11444" max="11681" width="9.125" style="9" customWidth="1"/>
    <col min="11682" max="11682" width="7" style="9" customWidth="1"/>
    <col min="11683" max="11683" width="28.875" style="9" customWidth="1"/>
    <col min="11684" max="11685" width="11.4375" style="9" customWidth="1"/>
    <col min="11686" max="11686" width="12.5625" style="9" customWidth="1"/>
    <col min="11687" max="11697" width="11.4375" style="9" customWidth="1"/>
    <col min="11698" max="11698" width="29.875" style="9" customWidth="1"/>
    <col min="11699" max="11699" width="21.875" style="9" customWidth="1"/>
    <col min="11700" max="11937" width="9.125" style="9" customWidth="1"/>
    <col min="11938" max="11938" width="7" style="9" customWidth="1"/>
    <col min="11939" max="11939" width="28.875" style="9" customWidth="1"/>
    <col min="11940" max="11941" width="11.4375" style="9" customWidth="1"/>
    <col min="11942" max="11942" width="12.5625" style="9" customWidth="1"/>
    <col min="11943" max="11953" width="11.4375" style="9" customWidth="1"/>
    <col min="11954" max="11954" width="29.875" style="9" customWidth="1"/>
    <col min="11955" max="11955" width="21.875" style="9" customWidth="1"/>
    <col min="11956" max="12193" width="9.125" style="9" customWidth="1"/>
    <col min="12194" max="12194" width="7" style="9" customWidth="1"/>
    <col min="12195" max="12195" width="28.875" style="9" customWidth="1"/>
    <col min="12196" max="12197" width="11.4375" style="9" customWidth="1"/>
    <col min="12198" max="12198" width="12.5625" style="9" customWidth="1"/>
    <col min="12199" max="12209" width="11.4375" style="9" customWidth="1"/>
    <col min="12210" max="12210" width="29.875" style="9" customWidth="1"/>
    <col min="12211" max="12211" width="21.875" style="9" customWidth="1"/>
    <col min="12212" max="12449" width="9.125" style="9" customWidth="1"/>
    <col min="12450" max="12450" width="7" style="9" customWidth="1"/>
    <col min="12451" max="12451" width="28.875" style="9" customWidth="1"/>
    <col min="12452" max="12453" width="11.4375" style="9" customWidth="1"/>
    <col min="12454" max="12454" width="12.5625" style="9" customWidth="1"/>
    <col min="12455" max="12465" width="11.4375" style="9" customWidth="1"/>
    <col min="12466" max="12466" width="29.875" style="9" customWidth="1"/>
    <col min="12467" max="12467" width="21.875" style="9" customWidth="1"/>
    <col min="12468" max="12705" width="9.125" style="9" customWidth="1"/>
    <col min="12706" max="12706" width="7" style="9" customWidth="1"/>
    <col min="12707" max="12707" width="28.875" style="9" customWidth="1"/>
    <col min="12708" max="12709" width="11.4375" style="9" customWidth="1"/>
    <col min="12710" max="12710" width="12.5625" style="9" customWidth="1"/>
    <col min="12711" max="12721" width="11.4375" style="9" customWidth="1"/>
    <col min="12722" max="12722" width="29.875" style="9" customWidth="1"/>
    <col min="12723" max="12723" width="21.875" style="9" customWidth="1"/>
    <col min="12724" max="12961" width="9.125" style="9" customWidth="1"/>
    <col min="12962" max="12962" width="7" style="9" customWidth="1"/>
    <col min="12963" max="12963" width="28.875" style="9" customWidth="1"/>
    <col min="12964" max="12965" width="11.4375" style="9" customWidth="1"/>
    <col min="12966" max="12966" width="12.5625" style="9" customWidth="1"/>
    <col min="12967" max="12977" width="11.4375" style="9" customWidth="1"/>
    <col min="12978" max="12978" width="29.875" style="9" customWidth="1"/>
    <col min="12979" max="12979" width="21.875" style="9" customWidth="1"/>
    <col min="12980" max="13217" width="9.125" style="9" customWidth="1"/>
    <col min="13218" max="13218" width="7" style="9" customWidth="1"/>
    <col min="13219" max="13219" width="28.875" style="9" customWidth="1"/>
    <col min="13220" max="13221" width="11.4375" style="9" customWidth="1"/>
    <col min="13222" max="13222" width="12.5625" style="9" customWidth="1"/>
    <col min="13223" max="13233" width="11.4375" style="9" customWidth="1"/>
    <col min="13234" max="13234" width="29.875" style="9" customWidth="1"/>
    <col min="13235" max="13235" width="21.875" style="9" customWidth="1"/>
    <col min="13236" max="13473" width="9.125" style="9" customWidth="1"/>
    <col min="13474" max="13474" width="7" style="9" customWidth="1"/>
    <col min="13475" max="13475" width="28.875" style="9" customWidth="1"/>
    <col min="13476" max="13477" width="11.4375" style="9" customWidth="1"/>
    <col min="13478" max="13478" width="12.5625" style="9" customWidth="1"/>
    <col min="13479" max="13489" width="11.4375" style="9" customWidth="1"/>
    <col min="13490" max="13490" width="29.875" style="9" customWidth="1"/>
    <col min="13491" max="13491" width="21.875" style="9" customWidth="1"/>
    <col min="13492" max="13729" width="9.125" style="9" customWidth="1"/>
    <col min="13730" max="13730" width="7" style="9" customWidth="1"/>
    <col min="13731" max="13731" width="28.875" style="9" customWidth="1"/>
    <col min="13732" max="13733" width="11.4375" style="9" customWidth="1"/>
    <col min="13734" max="13734" width="12.5625" style="9" customWidth="1"/>
    <col min="13735" max="13745" width="11.4375" style="9" customWidth="1"/>
    <col min="13746" max="13746" width="29.875" style="9" customWidth="1"/>
    <col min="13747" max="13747" width="21.875" style="9" customWidth="1"/>
    <col min="13748" max="13985" width="9.125" style="9" customWidth="1"/>
    <col min="13986" max="13986" width="7" style="9" customWidth="1"/>
    <col min="13987" max="13987" width="28.875" style="9" customWidth="1"/>
    <col min="13988" max="13989" width="11.4375" style="9" customWidth="1"/>
    <col min="13990" max="13990" width="12.5625" style="9" customWidth="1"/>
    <col min="13991" max="14001" width="11.4375" style="9" customWidth="1"/>
    <col min="14002" max="14002" width="29.875" style="9" customWidth="1"/>
    <col min="14003" max="14003" width="21.875" style="9" customWidth="1"/>
    <col min="14004" max="14241" width="9.125" style="9" customWidth="1"/>
    <col min="14242" max="14242" width="7" style="9" customWidth="1"/>
    <col min="14243" max="14243" width="28.875" style="9" customWidth="1"/>
    <col min="14244" max="14245" width="11.4375" style="9" customWidth="1"/>
    <col min="14246" max="14246" width="12.5625" style="9" customWidth="1"/>
    <col min="14247" max="14257" width="11.4375" style="9" customWidth="1"/>
    <col min="14258" max="14258" width="29.875" style="9" customWidth="1"/>
    <col min="14259" max="14259" width="21.875" style="9" customWidth="1"/>
    <col min="14260" max="14497" width="9.125" style="9" customWidth="1"/>
    <col min="14498" max="14498" width="7" style="9" customWidth="1"/>
    <col min="14499" max="14499" width="28.875" style="9" customWidth="1"/>
    <col min="14500" max="14501" width="11.4375" style="9" customWidth="1"/>
    <col min="14502" max="14502" width="12.5625" style="9" customWidth="1"/>
    <col min="14503" max="14513" width="11.4375" style="9" customWidth="1"/>
    <col min="14514" max="14514" width="29.875" style="9" customWidth="1"/>
    <col min="14515" max="14515" width="21.875" style="9" customWidth="1"/>
    <col min="14516" max="14753" width="9.125" style="9" customWidth="1"/>
    <col min="14754" max="14754" width="7" style="9" customWidth="1"/>
    <col min="14755" max="14755" width="28.875" style="9" customWidth="1"/>
    <col min="14756" max="14757" width="11.4375" style="9" customWidth="1"/>
    <col min="14758" max="14758" width="12.5625" style="9" customWidth="1"/>
    <col min="14759" max="14769" width="11.4375" style="9" customWidth="1"/>
    <col min="14770" max="14770" width="29.875" style="9" customWidth="1"/>
    <col min="14771" max="14771" width="21.875" style="9" customWidth="1"/>
    <col min="14772" max="15009" width="9.125" style="9" customWidth="1"/>
    <col min="15010" max="15010" width="7" style="9" customWidth="1"/>
    <col min="15011" max="15011" width="28.875" style="9" customWidth="1"/>
    <col min="15012" max="15013" width="11.4375" style="9" customWidth="1"/>
    <col min="15014" max="15014" width="12.5625" style="9" customWidth="1"/>
    <col min="15015" max="15025" width="11.4375" style="9" customWidth="1"/>
    <col min="15026" max="15026" width="29.875" style="9" customWidth="1"/>
    <col min="15027" max="15027" width="21.875" style="9" customWidth="1"/>
    <col min="15028" max="15265" width="9.125" style="9" customWidth="1"/>
    <col min="15266" max="15266" width="7" style="9" customWidth="1"/>
    <col min="15267" max="15267" width="28.875" style="9" customWidth="1"/>
    <col min="15268" max="15269" width="11.4375" style="9" customWidth="1"/>
    <col min="15270" max="15270" width="12.5625" style="9" customWidth="1"/>
    <col min="15271" max="15281" width="11.4375" style="9" customWidth="1"/>
    <col min="15282" max="15282" width="29.875" style="9" customWidth="1"/>
    <col min="15283" max="15283" width="21.875" style="9" customWidth="1"/>
    <col min="15284" max="15521" width="9.125" style="9" customWidth="1"/>
    <col min="15522" max="15522" width="7" style="9" customWidth="1"/>
    <col min="15523" max="15523" width="28.875" style="9" customWidth="1"/>
    <col min="15524" max="15525" width="11.4375" style="9" customWidth="1"/>
    <col min="15526" max="15526" width="12.5625" style="9" customWidth="1"/>
    <col min="15527" max="15537" width="11.4375" style="9" customWidth="1"/>
    <col min="15538" max="15538" width="29.875" style="9" customWidth="1"/>
    <col min="15539" max="15539" width="21.875" style="9" customWidth="1"/>
    <col min="15540" max="15777" width="9.125" style="9" customWidth="1"/>
    <col min="15778" max="15778" width="7" style="9" customWidth="1"/>
    <col min="15779" max="15779" width="28.875" style="9" customWidth="1"/>
    <col min="15780" max="15781" width="11.4375" style="9" customWidth="1"/>
    <col min="15782" max="15782" width="12.5625" style="9" customWidth="1"/>
    <col min="15783" max="15793" width="11.4375" style="9" customWidth="1"/>
    <col min="15794" max="15794" width="29.875" style="9" customWidth="1"/>
    <col min="15795" max="15795" width="21.875" style="9" customWidth="1"/>
    <col min="15796" max="16033" width="9.125" style="9" customWidth="1"/>
    <col min="16034" max="16034" width="7" style="9" customWidth="1"/>
    <col min="16035" max="16035" width="28.875" style="9" customWidth="1"/>
    <col min="16036" max="16037" width="11.4375" style="9" customWidth="1"/>
    <col min="16038" max="16038" width="12.5625" style="9" customWidth="1"/>
    <col min="16039" max="16049" width="11.4375" style="9" customWidth="1"/>
    <col min="16050" max="16050" width="29.875" style="9" customWidth="1"/>
    <col min="16051" max="16051" width="21.875" style="9" customWidth="1"/>
    <col min="16052" max="16384" width="9.125" style="9" customWidth="1"/>
  </cols>
  <sheetData>
    <row r="1" spans="1:92" ht="24" hidden="1" customHeight="1" x14ac:dyDescent="0.35">
      <c r="B1" s="7"/>
      <c r="C1" s="77"/>
      <c r="D1" s="51"/>
      <c r="E1" s="51"/>
      <c r="F1" s="51"/>
      <c r="G1" s="16"/>
      <c r="H1" s="16"/>
      <c r="I1" s="77"/>
      <c r="J1" s="51"/>
      <c r="K1" s="51"/>
      <c r="L1" s="51"/>
      <c r="M1" s="16"/>
      <c r="N1" s="16"/>
      <c r="O1" s="77"/>
      <c r="P1" s="51"/>
      <c r="Q1" s="51"/>
      <c r="R1" s="51"/>
      <c r="S1" s="16"/>
      <c r="T1" s="16"/>
      <c r="U1" s="77"/>
      <c r="V1" s="51"/>
      <c r="W1" s="51"/>
      <c r="X1" s="51"/>
      <c r="Y1" s="16"/>
      <c r="Z1" s="16"/>
      <c r="AA1" s="77"/>
      <c r="AB1" s="51"/>
      <c r="AC1" s="51"/>
      <c r="AD1" s="51"/>
      <c r="AE1" s="16"/>
      <c r="AF1" s="16"/>
      <c r="AG1" s="77"/>
      <c r="AH1" s="51"/>
      <c r="AI1" s="51"/>
      <c r="AJ1" s="51"/>
      <c r="AK1" s="16"/>
      <c r="AL1" s="16"/>
      <c r="AM1" s="77"/>
      <c r="AN1" s="51"/>
      <c r="AO1" s="51"/>
      <c r="AP1" s="51"/>
      <c r="AQ1" s="16"/>
      <c r="AR1" s="16"/>
      <c r="AS1" s="77"/>
      <c r="AT1" s="51"/>
      <c r="AU1" s="51"/>
      <c r="AV1" s="51"/>
      <c r="AW1" s="16"/>
      <c r="AX1" s="16"/>
      <c r="AY1" s="77"/>
      <c r="AZ1" s="51"/>
      <c r="BA1" s="51"/>
      <c r="BB1" s="51"/>
      <c r="BC1" s="16"/>
      <c r="BD1" s="16"/>
      <c r="BE1" s="77"/>
      <c r="BF1" s="51"/>
      <c r="BG1" s="51"/>
      <c r="BH1" s="51"/>
      <c r="BI1" s="16"/>
      <c r="BJ1" s="16"/>
      <c r="BK1" s="77"/>
      <c r="BL1" s="51"/>
      <c r="BM1" s="51"/>
      <c r="BN1" s="51"/>
      <c r="BO1" s="16"/>
      <c r="BP1" s="16"/>
      <c r="BQ1" s="77"/>
      <c r="BR1" s="51"/>
      <c r="BS1" s="51"/>
      <c r="BT1" s="51"/>
      <c r="BU1" s="16"/>
      <c r="BV1" s="16"/>
      <c r="BW1" s="77"/>
      <c r="BX1" s="51"/>
      <c r="BY1" s="51"/>
      <c r="BZ1" s="51"/>
      <c r="CA1" s="16"/>
      <c r="CB1" s="16"/>
      <c r="CC1" s="77"/>
      <c r="CD1" s="51"/>
      <c r="CE1" s="51"/>
      <c r="CF1" s="51"/>
      <c r="CG1" s="16"/>
      <c r="CH1" s="16"/>
      <c r="CI1" s="77"/>
      <c r="CJ1" s="51"/>
      <c r="CK1" s="51"/>
      <c r="CL1" s="51"/>
      <c r="CM1" s="16"/>
      <c r="CN1" s="16"/>
    </row>
    <row r="2" spans="1:92" s="10" customFormat="1" ht="22.5" customHeight="1" thickBot="1" x14ac:dyDescent="0.4">
      <c r="A2" s="299" t="s">
        <v>0</v>
      </c>
      <c r="B2" s="300"/>
      <c r="C2" s="281" t="s">
        <v>7</v>
      </c>
      <c r="D2" s="282"/>
      <c r="E2" s="282"/>
      <c r="F2" s="282"/>
      <c r="G2" s="282"/>
      <c r="H2" s="283"/>
      <c r="I2" s="281" t="s">
        <v>7</v>
      </c>
      <c r="J2" s="282"/>
      <c r="K2" s="282"/>
      <c r="L2" s="282"/>
      <c r="M2" s="282"/>
      <c r="N2" s="283"/>
      <c r="O2" s="281" t="s">
        <v>7</v>
      </c>
      <c r="P2" s="282"/>
      <c r="Q2" s="282"/>
      <c r="R2" s="282"/>
      <c r="S2" s="282"/>
      <c r="T2" s="283"/>
      <c r="U2" s="281" t="s">
        <v>7</v>
      </c>
      <c r="V2" s="282"/>
      <c r="W2" s="282"/>
      <c r="X2" s="282"/>
      <c r="Y2" s="282"/>
      <c r="Z2" s="283"/>
      <c r="AA2" s="281" t="s">
        <v>7</v>
      </c>
      <c r="AB2" s="282"/>
      <c r="AC2" s="282"/>
      <c r="AD2" s="282"/>
      <c r="AE2" s="282"/>
      <c r="AF2" s="283"/>
      <c r="AG2" s="281" t="s">
        <v>7</v>
      </c>
      <c r="AH2" s="282"/>
      <c r="AI2" s="282"/>
      <c r="AJ2" s="282"/>
      <c r="AK2" s="282"/>
      <c r="AL2" s="283"/>
      <c r="AM2" s="281" t="s">
        <v>7</v>
      </c>
      <c r="AN2" s="282"/>
      <c r="AO2" s="282"/>
      <c r="AP2" s="282"/>
      <c r="AQ2" s="282"/>
      <c r="AR2" s="283"/>
      <c r="AS2" s="281" t="s">
        <v>7</v>
      </c>
      <c r="AT2" s="282"/>
      <c r="AU2" s="282"/>
      <c r="AV2" s="282"/>
      <c r="AW2" s="282"/>
      <c r="AX2" s="283"/>
      <c r="AY2" s="281" t="s">
        <v>7</v>
      </c>
      <c r="AZ2" s="282"/>
      <c r="BA2" s="282"/>
      <c r="BB2" s="282"/>
      <c r="BC2" s="282"/>
      <c r="BD2" s="283"/>
      <c r="BE2" s="281" t="s">
        <v>7</v>
      </c>
      <c r="BF2" s="282"/>
      <c r="BG2" s="282"/>
      <c r="BH2" s="282"/>
      <c r="BI2" s="282"/>
      <c r="BJ2" s="283"/>
      <c r="BK2" s="281" t="s">
        <v>7</v>
      </c>
      <c r="BL2" s="282"/>
      <c r="BM2" s="282"/>
      <c r="BN2" s="282"/>
      <c r="BO2" s="282"/>
      <c r="BP2" s="283"/>
      <c r="BQ2" s="281" t="s">
        <v>7</v>
      </c>
      <c r="BR2" s="282"/>
      <c r="BS2" s="282"/>
      <c r="BT2" s="282"/>
      <c r="BU2" s="282"/>
      <c r="BV2" s="283"/>
      <c r="BW2" s="281" t="s">
        <v>7</v>
      </c>
      <c r="BX2" s="282"/>
      <c r="BY2" s="282"/>
      <c r="BZ2" s="282"/>
      <c r="CA2" s="282"/>
      <c r="CB2" s="283"/>
      <c r="CC2" s="281" t="s">
        <v>7</v>
      </c>
      <c r="CD2" s="282"/>
      <c r="CE2" s="282"/>
      <c r="CF2" s="282"/>
      <c r="CG2" s="282"/>
      <c r="CH2" s="283"/>
      <c r="CI2" s="331" t="s">
        <v>7</v>
      </c>
      <c r="CJ2" s="332"/>
      <c r="CK2" s="332"/>
      <c r="CL2" s="332"/>
      <c r="CM2" s="332"/>
      <c r="CN2" s="333"/>
    </row>
    <row r="3" spans="1:92" s="11" customFormat="1" ht="25.5" customHeight="1" x14ac:dyDescent="0.35">
      <c r="A3" s="19"/>
      <c r="B3" s="45" t="s">
        <v>14</v>
      </c>
      <c r="C3" s="297" t="s">
        <v>413</v>
      </c>
      <c r="D3" s="277"/>
      <c r="E3" s="277"/>
      <c r="F3" s="277"/>
      <c r="G3" s="277"/>
      <c r="H3" s="296"/>
      <c r="I3" s="295" t="s">
        <v>414</v>
      </c>
      <c r="J3" s="277"/>
      <c r="K3" s="277"/>
      <c r="L3" s="277"/>
      <c r="M3" s="277"/>
      <c r="N3" s="296"/>
      <c r="O3" s="297" t="s">
        <v>415</v>
      </c>
      <c r="P3" s="277"/>
      <c r="Q3" s="277"/>
      <c r="R3" s="277"/>
      <c r="S3" s="277"/>
      <c r="T3" s="296"/>
      <c r="U3" s="295" t="s">
        <v>416</v>
      </c>
      <c r="V3" s="277"/>
      <c r="W3" s="277"/>
      <c r="X3" s="277"/>
      <c r="Y3" s="277"/>
      <c r="Z3" s="296"/>
      <c r="AA3" s="297" t="s">
        <v>417</v>
      </c>
      <c r="AB3" s="277"/>
      <c r="AC3" s="277"/>
      <c r="AD3" s="277"/>
      <c r="AE3" s="277"/>
      <c r="AF3" s="296"/>
      <c r="AG3" s="295" t="s">
        <v>418</v>
      </c>
      <c r="AH3" s="277"/>
      <c r="AI3" s="277"/>
      <c r="AJ3" s="277"/>
      <c r="AK3" s="277"/>
      <c r="AL3" s="296"/>
      <c r="AM3" s="297" t="s">
        <v>419</v>
      </c>
      <c r="AN3" s="277"/>
      <c r="AO3" s="277"/>
      <c r="AP3" s="277"/>
      <c r="AQ3" s="277"/>
      <c r="AR3" s="296"/>
      <c r="AS3" s="295" t="s">
        <v>420</v>
      </c>
      <c r="AT3" s="277"/>
      <c r="AU3" s="277"/>
      <c r="AV3" s="277"/>
      <c r="AW3" s="277"/>
      <c r="AX3" s="296"/>
      <c r="AY3" s="297" t="s">
        <v>421</v>
      </c>
      <c r="AZ3" s="277"/>
      <c r="BA3" s="277"/>
      <c r="BB3" s="277"/>
      <c r="BC3" s="277"/>
      <c r="BD3" s="296"/>
      <c r="BE3" s="295" t="s">
        <v>422</v>
      </c>
      <c r="BF3" s="277"/>
      <c r="BG3" s="277"/>
      <c r="BH3" s="277"/>
      <c r="BI3" s="277"/>
      <c r="BJ3" s="296"/>
      <c r="BK3" s="297" t="s">
        <v>423</v>
      </c>
      <c r="BL3" s="277"/>
      <c r="BM3" s="277"/>
      <c r="BN3" s="277"/>
      <c r="BO3" s="277"/>
      <c r="BP3" s="296"/>
      <c r="BQ3" s="295" t="s">
        <v>424</v>
      </c>
      <c r="BR3" s="277"/>
      <c r="BS3" s="277"/>
      <c r="BT3" s="277"/>
      <c r="BU3" s="277"/>
      <c r="BV3" s="296"/>
      <c r="BW3" s="297" t="s">
        <v>425</v>
      </c>
      <c r="BX3" s="277"/>
      <c r="BY3" s="277"/>
      <c r="BZ3" s="277"/>
      <c r="CA3" s="277"/>
      <c r="CB3" s="296"/>
      <c r="CC3" s="295" t="s">
        <v>426</v>
      </c>
      <c r="CD3" s="277"/>
      <c r="CE3" s="277"/>
      <c r="CF3" s="277"/>
      <c r="CG3" s="277"/>
      <c r="CH3" s="296"/>
      <c r="CI3" s="285" t="s">
        <v>427</v>
      </c>
      <c r="CJ3" s="279"/>
      <c r="CK3" s="279"/>
      <c r="CL3" s="279"/>
      <c r="CM3" s="279"/>
      <c r="CN3" s="280"/>
    </row>
    <row r="4" spans="1:92" s="11" customFormat="1" ht="25.5" customHeight="1" x14ac:dyDescent="0.35">
      <c r="A4" s="19"/>
      <c r="B4" s="45" t="s">
        <v>27</v>
      </c>
      <c r="C4" s="289" t="s">
        <v>428</v>
      </c>
      <c r="D4" s="279"/>
      <c r="E4" s="279"/>
      <c r="F4" s="279"/>
      <c r="G4" s="279"/>
      <c r="H4" s="280"/>
      <c r="I4" s="309" t="s">
        <v>429</v>
      </c>
      <c r="J4" s="279"/>
      <c r="K4" s="279"/>
      <c r="L4" s="279"/>
      <c r="M4" s="279"/>
      <c r="N4" s="280"/>
      <c r="O4" s="289" t="s">
        <v>430</v>
      </c>
      <c r="P4" s="279"/>
      <c r="Q4" s="279"/>
      <c r="R4" s="279"/>
      <c r="S4" s="279"/>
      <c r="T4" s="280"/>
      <c r="U4" s="309" t="s">
        <v>431</v>
      </c>
      <c r="V4" s="279"/>
      <c r="W4" s="279"/>
      <c r="X4" s="279"/>
      <c r="Y4" s="279"/>
      <c r="Z4" s="280"/>
      <c r="AA4" s="289" t="s">
        <v>432</v>
      </c>
      <c r="AB4" s="279"/>
      <c r="AC4" s="279"/>
      <c r="AD4" s="279"/>
      <c r="AE4" s="279"/>
      <c r="AF4" s="280"/>
      <c r="AG4" s="309" t="s">
        <v>433</v>
      </c>
      <c r="AH4" s="279"/>
      <c r="AI4" s="279"/>
      <c r="AJ4" s="279"/>
      <c r="AK4" s="279"/>
      <c r="AL4" s="280"/>
      <c r="AM4" s="289" t="s">
        <v>432</v>
      </c>
      <c r="AN4" s="279"/>
      <c r="AO4" s="279"/>
      <c r="AP4" s="279"/>
      <c r="AQ4" s="279"/>
      <c r="AR4" s="280"/>
      <c r="AS4" s="309" t="s">
        <v>433</v>
      </c>
      <c r="AT4" s="279"/>
      <c r="AU4" s="279"/>
      <c r="AV4" s="279"/>
      <c r="AW4" s="279"/>
      <c r="AX4" s="280"/>
      <c r="AY4" s="289" t="s">
        <v>434</v>
      </c>
      <c r="AZ4" s="279"/>
      <c r="BA4" s="279"/>
      <c r="BB4" s="279"/>
      <c r="BC4" s="279"/>
      <c r="BD4" s="280"/>
      <c r="BE4" s="309" t="s">
        <v>31</v>
      </c>
      <c r="BF4" s="279"/>
      <c r="BG4" s="279"/>
      <c r="BH4" s="279"/>
      <c r="BI4" s="279"/>
      <c r="BJ4" s="280"/>
      <c r="BK4" s="289" t="s">
        <v>433</v>
      </c>
      <c r="BL4" s="279"/>
      <c r="BM4" s="279"/>
      <c r="BN4" s="279"/>
      <c r="BO4" s="279"/>
      <c r="BP4" s="280"/>
      <c r="BQ4" s="309" t="s">
        <v>435</v>
      </c>
      <c r="BR4" s="279"/>
      <c r="BS4" s="279"/>
      <c r="BT4" s="279"/>
      <c r="BU4" s="279"/>
      <c r="BV4" s="280"/>
      <c r="BW4" s="289" t="s">
        <v>436</v>
      </c>
      <c r="BX4" s="279"/>
      <c r="BY4" s="279"/>
      <c r="BZ4" s="279"/>
      <c r="CA4" s="279"/>
      <c r="CB4" s="280"/>
      <c r="CC4" s="309" t="s">
        <v>437</v>
      </c>
      <c r="CD4" s="279"/>
      <c r="CE4" s="279"/>
      <c r="CF4" s="279"/>
      <c r="CG4" s="279"/>
      <c r="CH4" s="280"/>
      <c r="CI4" s="285" t="s">
        <v>438</v>
      </c>
      <c r="CJ4" s="279"/>
      <c r="CK4" s="279"/>
      <c r="CL4" s="279"/>
      <c r="CM4" s="279"/>
      <c r="CN4" s="280"/>
    </row>
    <row r="5" spans="1:92" s="2" customFormat="1" ht="35.25" customHeight="1" x14ac:dyDescent="0.35">
      <c r="A5" s="308"/>
      <c r="B5" s="279"/>
      <c r="C5" s="87" t="s">
        <v>37</v>
      </c>
      <c r="D5" s="6" t="s">
        <v>38</v>
      </c>
      <c r="E5" s="6" t="s">
        <v>39</v>
      </c>
      <c r="F5" s="6" t="s">
        <v>40</v>
      </c>
      <c r="G5" s="20" t="s">
        <v>41</v>
      </c>
      <c r="H5" s="21" t="s">
        <v>42</v>
      </c>
      <c r="I5" s="109" t="s">
        <v>37</v>
      </c>
      <c r="J5" s="61" t="s">
        <v>38</v>
      </c>
      <c r="K5" s="61" t="s">
        <v>39</v>
      </c>
      <c r="L5" s="61" t="s">
        <v>40</v>
      </c>
      <c r="M5" s="62" t="s">
        <v>41</v>
      </c>
      <c r="N5" s="110" t="s">
        <v>42</v>
      </c>
      <c r="O5" s="87" t="s">
        <v>37</v>
      </c>
      <c r="P5" s="6" t="s">
        <v>38</v>
      </c>
      <c r="Q5" s="6" t="s">
        <v>39</v>
      </c>
      <c r="R5" s="6" t="s">
        <v>40</v>
      </c>
      <c r="S5" s="20" t="s">
        <v>41</v>
      </c>
      <c r="T5" s="21" t="s">
        <v>42</v>
      </c>
      <c r="U5" s="109" t="s">
        <v>37</v>
      </c>
      <c r="V5" s="61" t="s">
        <v>38</v>
      </c>
      <c r="W5" s="61" t="s">
        <v>39</v>
      </c>
      <c r="X5" s="61" t="s">
        <v>40</v>
      </c>
      <c r="Y5" s="62" t="s">
        <v>41</v>
      </c>
      <c r="Z5" s="110" t="s">
        <v>42</v>
      </c>
      <c r="AA5" s="87" t="s">
        <v>37</v>
      </c>
      <c r="AB5" s="6" t="s">
        <v>38</v>
      </c>
      <c r="AC5" s="6" t="s">
        <v>39</v>
      </c>
      <c r="AD5" s="6" t="s">
        <v>40</v>
      </c>
      <c r="AE5" s="20" t="s">
        <v>41</v>
      </c>
      <c r="AF5" s="21" t="s">
        <v>42</v>
      </c>
      <c r="AG5" s="109" t="s">
        <v>37</v>
      </c>
      <c r="AH5" s="61" t="s">
        <v>38</v>
      </c>
      <c r="AI5" s="61" t="s">
        <v>39</v>
      </c>
      <c r="AJ5" s="61" t="s">
        <v>40</v>
      </c>
      <c r="AK5" s="62" t="s">
        <v>41</v>
      </c>
      <c r="AL5" s="110" t="s">
        <v>42</v>
      </c>
      <c r="AM5" s="87" t="s">
        <v>37</v>
      </c>
      <c r="AN5" s="6" t="s">
        <v>38</v>
      </c>
      <c r="AO5" s="6" t="s">
        <v>39</v>
      </c>
      <c r="AP5" s="6" t="s">
        <v>40</v>
      </c>
      <c r="AQ5" s="20" t="s">
        <v>41</v>
      </c>
      <c r="AR5" s="21" t="s">
        <v>42</v>
      </c>
      <c r="AS5" s="109" t="s">
        <v>37</v>
      </c>
      <c r="AT5" s="61" t="s">
        <v>38</v>
      </c>
      <c r="AU5" s="61" t="s">
        <v>39</v>
      </c>
      <c r="AV5" s="61" t="s">
        <v>40</v>
      </c>
      <c r="AW5" s="62" t="s">
        <v>41</v>
      </c>
      <c r="AX5" s="110" t="s">
        <v>42</v>
      </c>
      <c r="AY5" s="87" t="s">
        <v>37</v>
      </c>
      <c r="AZ5" s="6" t="s">
        <v>38</v>
      </c>
      <c r="BA5" s="6" t="s">
        <v>39</v>
      </c>
      <c r="BB5" s="6" t="s">
        <v>40</v>
      </c>
      <c r="BC5" s="20" t="s">
        <v>41</v>
      </c>
      <c r="BD5" s="21" t="s">
        <v>42</v>
      </c>
      <c r="BE5" s="109" t="s">
        <v>37</v>
      </c>
      <c r="BF5" s="61" t="s">
        <v>38</v>
      </c>
      <c r="BG5" s="61" t="s">
        <v>39</v>
      </c>
      <c r="BH5" s="61" t="s">
        <v>40</v>
      </c>
      <c r="BI5" s="62" t="s">
        <v>41</v>
      </c>
      <c r="BJ5" s="110" t="s">
        <v>42</v>
      </c>
      <c r="BK5" s="87" t="s">
        <v>37</v>
      </c>
      <c r="BL5" s="6" t="s">
        <v>38</v>
      </c>
      <c r="BM5" s="6" t="s">
        <v>39</v>
      </c>
      <c r="BN5" s="6" t="s">
        <v>40</v>
      </c>
      <c r="BO5" s="20" t="s">
        <v>41</v>
      </c>
      <c r="BP5" s="21" t="s">
        <v>42</v>
      </c>
      <c r="BQ5" s="109" t="s">
        <v>37</v>
      </c>
      <c r="BR5" s="61" t="s">
        <v>38</v>
      </c>
      <c r="BS5" s="61" t="s">
        <v>39</v>
      </c>
      <c r="BT5" s="61" t="s">
        <v>40</v>
      </c>
      <c r="BU5" s="62" t="s">
        <v>41</v>
      </c>
      <c r="BV5" s="110" t="s">
        <v>42</v>
      </c>
      <c r="BW5" s="87" t="s">
        <v>37</v>
      </c>
      <c r="BX5" s="6" t="s">
        <v>38</v>
      </c>
      <c r="BY5" s="6" t="s">
        <v>39</v>
      </c>
      <c r="BZ5" s="6" t="s">
        <v>40</v>
      </c>
      <c r="CA5" s="20" t="s">
        <v>41</v>
      </c>
      <c r="CB5" s="105" t="s">
        <v>42</v>
      </c>
      <c r="CC5" s="109" t="s">
        <v>37</v>
      </c>
      <c r="CD5" s="61" t="s">
        <v>38</v>
      </c>
      <c r="CE5" s="61" t="s">
        <v>39</v>
      </c>
      <c r="CF5" s="61" t="s">
        <v>40</v>
      </c>
      <c r="CG5" s="62" t="s">
        <v>41</v>
      </c>
      <c r="CH5" s="272" t="s">
        <v>42</v>
      </c>
      <c r="CI5" s="99" t="s">
        <v>37</v>
      </c>
      <c r="CJ5" s="6" t="s">
        <v>38</v>
      </c>
      <c r="CK5" s="6" t="s">
        <v>39</v>
      </c>
      <c r="CL5" s="6" t="s">
        <v>40</v>
      </c>
      <c r="CM5" s="20" t="s">
        <v>41</v>
      </c>
      <c r="CN5" s="20" t="s">
        <v>42</v>
      </c>
    </row>
    <row r="6" spans="1:92" s="63" customFormat="1" ht="23.25" customHeight="1" x14ac:dyDescent="0.35">
      <c r="A6" s="22">
        <v>1</v>
      </c>
      <c r="B6" s="41" t="s">
        <v>43</v>
      </c>
      <c r="C6" s="88"/>
      <c r="D6" s="23"/>
      <c r="E6" s="23"/>
      <c r="F6" s="23"/>
      <c r="G6" s="23">
        <f>SUM(G7:G8)</f>
        <v>1000000</v>
      </c>
      <c r="H6" s="24">
        <f>SUM(H7:H8)</f>
        <v>0</v>
      </c>
      <c r="I6" s="88"/>
      <c r="J6" s="23"/>
      <c r="K6" s="23"/>
      <c r="L6" s="23"/>
      <c r="M6" s="23">
        <f>SUM(M7:M8)</f>
        <v>0</v>
      </c>
      <c r="N6" s="24">
        <f>SUM(N7:N8)</f>
        <v>0</v>
      </c>
      <c r="O6" s="88"/>
      <c r="P6" s="23"/>
      <c r="Q6" s="23"/>
      <c r="R6" s="23"/>
      <c r="S6" s="23">
        <f>SUM(S7:S8)</f>
        <v>0</v>
      </c>
      <c r="T6" s="24">
        <f>SUM(T7:T8)</f>
        <v>0</v>
      </c>
      <c r="U6" s="88"/>
      <c r="V6" s="23"/>
      <c r="W6" s="23"/>
      <c r="X6" s="23"/>
      <c r="Y6" s="23">
        <f>SUM(Y7:Y8)</f>
        <v>1000000</v>
      </c>
      <c r="Z6" s="24">
        <f>SUM(Z7:Z8)</f>
        <v>0</v>
      </c>
      <c r="AA6" s="88"/>
      <c r="AB6" s="23"/>
      <c r="AC6" s="23"/>
      <c r="AD6" s="23"/>
      <c r="AE6" s="23">
        <f>SUM(AE7:AE8)</f>
        <v>0</v>
      </c>
      <c r="AF6" s="24">
        <f>SUM(AF7:AF8)</f>
        <v>0</v>
      </c>
      <c r="AG6" s="88"/>
      <c r="AH6" s="23"/>
      <c r="AI6" s="23"/>
      <c r="AJ6" s="23"/>
      <c r="AK6" s="23">
        <f>SUM(AK7:AK8)</f>
        <v>0</v>
      </c>
      <c r="AL6" s="24">
        <f>SUM(AL7:AL8)</f>
        <v>0</v>
      </c>
      <c r="AM6" s="88"/>
      <c r="AN6" s="23"/>
      <c r="AO6" s="23"/>
      <c r="AP6" s="23"/>
      <c r="AQ6" s="23">
        <f>SUM(AQ7:AQ8)</f>
        <v>1000000</v>
      </c>
      <c r="AR6" s="24">
        <f>SUM(AR7:AR8)</f>
        <v>0</v>
      </c>
      <c r="AS6" s="88"/>
      <c r="AT6" s="23"/>
      <c r="AU6" s="23"/>
      <c r="AV6" s="23"/>
      <c r="AW6" s="23">
        <f>SUM(AW7:AW8)</f>
        <v>0</v>
      </c>
      <c r="AX6" s="24">
        <f>SUM(AX7:AX8)</f>
        <v>0</v>
      </c>
      <c r="AY6" s="88"/>
      <c r="AZ6" s="23"/>
      <c r="BA6" s="23"/>
      <c r="BB6" s="23"/>
      <c r="BC6" s="23">
        <f>SUM(BC7:BC8)</f>
        <v>0</v>
      </c>
      <c r="BD6" s="24">
        <f>SUM(BD7:BD8)</f>
        <v>0</v>
      </c>
      <c r="BE6" s="88"/>
      <c r="BF6" s="23"/>
      <c r="BG6" s="23"/>
      <c r="BH6" s="23"/>
      <c r="BI6" s="23">
        <f>SUM(BI7:BI8)</f>
        <v>0</v>
      </c>
      <c r="BJ6" s="24">
        <f>SUM(BJ7:BJ8)</f>
        <v>0</v>
      </c>
      <c r="BK6" s="88"/>
      <c r="BL6" s="23"/>
      <c r="BM6" s="23"/>
      <c r="BN6" s="23"/>
      <c r="BO6" s="23">
        <f>SUM(BO7:BO8)</f>
        <v>0</v>
      </c>
      <c r="BP6" s="24">
        <f>SUM(BP7:BP8)</f>
        <v>0</v>
      </c>
      <c r="BQ6" s="88"/>
      <c r="BR6" s="23"/>
      <c r="BS6" s="23"/>
      <c r="BT6" s="23"/>
      <c r="BU6" s="23">
        <f>SUM(BU7:BU8)</f>
        <v>0</v>
      </c>
      <c r="BV6" s="24">
        <f>SUM(BV7:BV8)</f>
        <v>0</v>
      </c>
      <c r="BW6" s="88"/>
      <c r="BX6" s="23"/>
      <c r="BY6" s="23"/>
      <c r="BZ6" s="23"/>
      <c r="CA6" s="23">
        <f>SUM(CA7:CA8)</f>
        <v>0</v>
      </c>
      <c r="CB6" s="72">
        <f>SUM(CB7:CB8)</f>
        <v>0</v>
      </c>
      <c r="CC6" s="88"/>
      <c r="CD6" s="23"/>
      <c r="CE6" s="23"/>
      <c r="CF6" s="23"/>
      <c r="CG6" s="23">
        <f>SUM(CG7:CG8)</f>
        <v>0</v>
      </c>
      <c r="CH6" s="72">
        <f>SUM(CH7:CH8)</f>
        <v>0</v>
      </c>
      <c r="CI6" s="100"/>
      <c r="CJ6" s="23"/>
      <c r="CK6" s="23"/>
      <c r="CL6" s="23"/>
      <c r="CM6" s="23">
        <f>SUM(CM7:CM8)</f>
        <v>0</v>
      </c>
      <c r="CN6" s="23">
        <f>SUM(CN7:CN8)</f>
        <v>0</v>
      </c>
    </row>
    <row r="7" spans="1:92" s="1" customFormat="1" ht="23.25" customHeight="1" x14ac:dyDescent="0.35">
      <c r="A7" s="25" t="s">
        <v>44</v>
      </c>
      <c r="B7" s="42" t="s">
        <v>45</v>
      </c>
      <c r="C7" s="89"/>
      <c r="D7" s="34"/>
      <c r="E7" s="34"/>
      <c r="F7" s="34"/>
      <c r="G7" s="3"/>
      <c r="H7" s="69"/>
      <c r="I7" s="89"/>
      <c r="J7" s="34"/>
      <c r="K7" s="34"/>
      <c r="L7" s="34"/>
      <c r="M7" s="3"/>
      <c r="N7" s="69"/>
      <c r="O7" s="89"/>
      <c r="P7" s="34"/>
      <c r="Q7" s="34"/>
      <c r="R7" s="34"/>
      <c r="S7" s="3"/>
      <c r="T7" s="69"/>
      <c r="U7" s="89"/>
      <c r="V7" s="34"/>
      <c r="W7" s="34"/>
      <c r="X7" s="34"/>
      <c r="Y7" s="3"/>
      <c r="Z7" s="69"/>
      <c r="AA7" s="89"/>
      <c r="AB7" s="34"/>
      <c r="AC7" s="34"/>
      <c r="AD7" s="34"/>
      <c r="AE7" s="3"/>
      <c r="AF7" s="69"/>
      <c r="AG7" s="89"/>
      <c r="AH7" s="34"/>
      <c r="AI7" s="34"/>
      <c r="AJ7" s="34"/>
      <c r="AK7" s="3"/>
      <c r="AL7" s="69"/>
      <c r="AM7" s="89"/>
      <c r="AN7" s="34"/>
      <c r="AO7" s="34"/>
      <c r="AP7" s="34"/>
      <c r="AQ7" s="3"/>
      <c r="AR7" s="69"/>
      <c r="AS7" s="89"/>
      <c r="AT7" s="34"/>
      <c r="AU7" s="34"/>
      <c r="AV7" s="34"/>
      <c r="AW7" s="3"/>
      <c r="AX7" s="69"/>
      <c r="AY7" s="89"/>
      <c r="AZ7" s="34"/>
      <c r="BA7" s="34"/>
      <c r="BB7" s="34"/>
      <c r="BC7" s="3"/>
      <c r="BD7" s="69"/>
      <c r="BE7" s="89"/>
      <c r="BF7" s="34"/>
      <c r="BG7" s="34"/>
      <c r="BH7" s="34"/>
      <c r="BI7" s="3"/>
      <c r="BJ7" s="69"/>
      <c r="BK7" s="89"/>
      <c r="BL7" s="34"/>
      <c r="BM7" s="34"/>
      <c r="BN7" s="34"/>
      <c r="BO7" s="3"/>
      <c r="BP7" s="69"/>
      <c r="BQ7" s="89"/>
      <c r="BR7" s="34"/>
      <c r="BS7" s="34"/>
      <c r="BT7" s="34"/>
      <c r="BU7" s="3"/>
      <c r="BV7" s="69"/>
      <c r="BW7" s="89"/>
      <c r="BX7" s="34"/>
      <c r="BY7" s="34"/>
      <c r="BZ7" s="34"/>
      <c r="CA7" s="3"/>
      <c r="CB7" s="130"/>
      <c r="CC7" s="89"/>
      <c r="CD7" s="34"/>
      <c r="CE7" s="34"/>
      <c r="CF7" s="34"/>
      <c r="CG7" s="3"/>
      <c r="CH7" s="130"/>
      <c r="CI7" s="101"/>
      <c r="CJ7" s="34"/>
      <c r="CK7" s="34"/>
      <c r="CL7" s="34"/>
      <c r="CM7" s="3"/>
      <c r="CN7" s="167"/>
    </row>
    <row r="8" spans="1:92" s="1" customFormat="1" ht="24.75" customHeight="1" x14ac:dyDescent="0.35">
      <c r="A8" s="25" t="s">
        <v>51</v>
      </c>
      <c r="B8" s="42" t="s">
        <v>52</v>
      </c>
      <c r="C8" s="89"/>
      <c r="D8" s="34"/>
      <c r="E8" s="34"/>
      <c r="F8" s="34"/>
      <c r="G8" s="3">
        <v>1000000</v>
      </c>
      <c r="H8" s="69" t="s">
        <v>439</v>
      </c>
      <c r="I8" s="89"/>
      <c r="J8" s="34"/>
      <c r="K8" s="34"/>
      <c r="L8" s="34"/>
      <c r="M8" s="3"/>
      <c r="N8" s="69"/>
      <c r="O8" s="89"/>
      <c r="P8" s="34"/>
      <c r="Q8" s="34"/>
      <c r="R8" s="34"/>
      <c r="S8" s="3"/>
      <c r="T8" s="69"/>
      <c r="U8" s="89"/>
      <c r="V8" s="34"/>
      <c r="W8" s="34"/>
      <c r="X8" s="34"/>
      <c r="Y8" s="3">
        <v>1000000</v>
      </c>
      <c r="Z8" s="69" t="s">
        <v>440</v>
      </c>
      <c r="AA8" s="89"/>
      <c r="AB8" s="34"/>
      <c r="AC8" s="34"/>
      <c r="AD8" s="34"/>
      <c r="AE8" s="3"/>
      <c r="AF8" s="69"/>
      <c r="AG8" s="89"/>
      <c r="AH8" s="34"/>
      <c r="AI8" s="34"/>
      <c r="AJ8" s="34"/>
      <c r="AK8" s="3"/>
      <c r="AL8" s="69"/>
      <c r="AM8" s="89"/>
      <c r="AN8" s="34"/>
      <c r="AO8" s="34"/>
      <c r="AP8" s="34"/>
      <c r="AQ8" s="3">
        <v>1000000</v>
      </c>
      <c r="AR8" s="69" t="s">
        <v>306</v>
      </c>
      <c r="AS8" s="89"/>
      <c r="AT8" s="34"/>
      <c r="AU8" s="34"/>
      <c r="AV8" s="34"/>
      <c r="AW8" s="3"/>
      <c r="AX8" s="69"/>
      <c r="AY8" s="89"/>
      <c r="AZ8" s="34"/>
      <c r="BA8" s="34"/>
      <c r="BB8" s="34"/>
      <c r="BC8" s="3"/>
      <c r="BD8" s="69"/>
      <c r="BE8" s="89"/>
      <c r="BF8" s="34"/>
      <c r="BG8" s="34"/>
      <c r="BH8" s="34"/>
      <c r="BI8" s="3"/>
      <c r="BJ8" s="69"/>
      <c r="BK8" s="89"/>
      <c r="BL8" s="34"/>
      <c r="BM8" s="34"/>
      <c r="BN8" s="34"/>
      <c r="BO8" s="3"/>
      <c r="BP8" s="69"/>
      <c r="BQ8" s="89"/>
      <c r="BR8" s="34"/>
      <c r="BS8" s="34"/>
      <c r="BT8" s="34"/>
      <c r="BU8" s="3"/>
      <c r="BV8" s="69"/>
      <c r="BW8" s="89"/>
      <c r="BX8" s="34"/>
      <c r="BY8" s="34"/>
      <c r="BZ8" s="34"/>
      <c r="CA8" s="3"/>
      <c r="CB8" s="130"/>
      <c r="CC8" s="89"/>
      <c r="CD8" s="34"/>
      <c r="CE8" s="34"/>
      <c r="CF8" s="34"/>
      <c r="CG8" s="3"/>
      <c r="CH8" s="130"/>
      <c r="CI8" s="101"/>
      <c r="CJ8" s="34"/>
      <c r="CK8" s="34"/>
      <c r="CL8" s="34"/>
      <c r="CM8" s="3"/>
      <c r="CN8" s="167"/>
    </row>
    <row r="9" spans="1:92" s="1" customFormat="1" ht="24.75" customHeight="1" x14ac:dyDescent="0.35">
      <c r="A9" s="25" t="s">
        <v>61</v>
      </c>
      <c r="B9" s="42" t="s">
        <v>62</v>
      </c>
      <c r="C9" s="89"/>
      <c r="D9" s="34"/>
      <c r="E9" s="34"/>
      <c r="F9" s="34"/>
      <c r="G9" s="3"/>
      <c r="H9" s="30"/>
      <c r="I9" s="89"/>
      <c r="J9" s="34"/>
      <c r="K9" s="34"/>
      <c r="L9" s="34"/>
      <c r="M9" s="3"/>
      <c r="N9" s="30"/>
      <c r="O9" s="89"/>
      <c r="P9" s="34"/>
      <c r="Q9" s="34"/>
      <c r="R9" s="34"/>
      <c r="S9" s="3"/>
      <c r="T9" s="30"/>
      <c r="U9" s="89"/>
      <c r="V9" s="34"/>
      <c r="W9" s="34"/>
      <c r="X9" s="34"/>
      <c r="Y9" s="3"/>
      <c r="Z9" s="30"/>
      <c r="AA9" s="89"/>
      <c r="AB9" s="34"/>
      <c r="AC9" s="34"/>
      <c r="AD9" s="34"/>
      <c r="AE9" s="3"/>
      <c r="AF9" s="30"/>
      <c r="AG9" s="89"/>
      <c r="AH9" s="34"/>
      <c r="AI9" s="34"/>
      <c r="AJ9" s="34"/>
      <c r="AK9" s="3"/>
      <c r="AL9" s="30"/>
      <c r="AM9" s="89"/>
      <c r="AN9" s="34"/>
      <c r="AO9" s="34"/>
      <c r="AP9" s="34"/>
      <c r="AQ9" s="3"/>
      <c r="AR9" s="30"/>
      <c r="AS9" s="89"/>
      <c r="AT9" s="34"/>
      <c r="AU9" s="34"/>
      <c r="AV9" s="34"/>
      <c r="AW9" s="3"/>
      <c r="AX9" s="30"/>
      <c r="AY9" s="89"/>
      <c r="AZ9" s="34"/>
      <c r="BA9" s="34"/>
      <c r="BB9" s="34"/>
      <c r="BC9" s="3"/>
      <c r="BD9" s="30"/>
      <c r="BE9" s="89"/>
      <c r="BF9" s="34"/>
      <c r="BG9" s="34"/>
      <c r="BH9" s="34"/>
      <c r="BI9" s="3"/>
      <c r="BJ9" s="30"/>
      <c r="BK9" s="89"/>
      <c r="BL9" s="34"/>
      <c r="BM9" s="34"/>
      <c r="BN9" s="34"/>
      <c r="BO9" s="3"/>
      <c r="BP9" s="30"/>
      <c r="BQ9" s="89"/>
      <c r="BR9" s="34"/>
      <c r="BS9" s="34"/>
      <c r="BT9" s="34"/>
      <c r="BU9" s="3"/>
      <c r="BV9" s="30"/>
      <c r="BW9" s="89"/>
      <c r="BX9" s="34"/>
      <c r="BY9" s="34"/>
      <c r="BZ9" s="34"/>
      <c r="CA9" s="3"/>
      <c r="CB9" s="106"/>
      <c r="CC9" s="89"/>
      <c r="CD9" s="34"/>
      <c r="CE9" s="34"/>
      <c r="CF9" s="34"/>
      <c r="CG9" s="3"/>
      <c r="CH9" s="106"/>
      <c r="CI9" s="101"/>
      <c r="CJ9" s="34"/>
      <c r="CK9" s="34"/>
      <c r="CL9" s="34"/>
      <c r="CM9" s="3"/>
      <c r="CN9" s="3"/>
    </row>
    <row r="10" spans="1:92" s="63" customFormat="1" ht="23.25" customHeight="1" x14ac:dyDescent="0.35">
      <c r="A10" s="22">
        <v>2</v>
      </c>
      <c r="B10" s="41" t="s">
        <v>64</v>
      </c>
      <c r="C10" s="88"/>
      <c r="D10" s="43">
        <f>SUM(D11:D18)</f>
        <v>0</v>
      </c>
      <c r="E10" s="43">
        <f>SUM(E11:E18)</f>
        <v>21</v>
      </c>
      <c r="F10" s="43">
        <f>SUM(F11:F18)</f>
        <v>0</v>
      </c>
      <c r="G10" s="23">
        <f>SUM(G11:G19)</f>
        <v>0</v>
      </c>
      <c r="H10" s="24">
        <f>D10+E10+F10</f>
        <v>21</v>
      </c>
      <c r="I10" s="88"/>
      <c r="J10" s="43">
        <f>SUM(J11:J18)</f>
        <v>0</v>
      </c>
      <c r="K10" s="43">
        <f>SUM(K11:K18)</f>
        <v>27</v>
      </c>
      <c r="L10" s="43">
        <f>SUM(L11:L18)</f>
        <v>0</v>
      </c>
      <c r="M10" s="23">
        <f>SUM(M11:M19)</f>
        <v>120000</v>
      </c>
      <c r="N10" s="24">
        <f>J10+K10+L10</f>
        <v>27</v>
      </c>
      <c r="O10" s="88"/>
      <c r="P10" s="43">
        <f>SUM(P11:P18)</f>
        <v>0</v>
      </c>
      <c r="Q10" s="43">
        <f>SUM(Q11:Q18)</f>
        <v>25</v>
      </c>
      <c r="R10" s="43">
        <f>SUM(R11:R18)</f>
        <v>0</v>
      </c>
      <c r="S10" s="23">
        <f>SUM(S11:S19)</f>
        <v>0</v>
      </c>
      <c r="T10" s="24">
        <f>P10+Q10+R10</f>
        <v>25</v>
      </c>
      <c r="U10" s="88"/>
      <c r="V10" s="43">
        <f>SUM(V11:V18)</f>
        <v>10</v>
      </c>
      <c r="W10" s="43">
        <f>SUM(W11:W18)</f>
        <v>20</v>
      </c>
      <c r="X10" s="43">
        <f>SUM(X11:X18)</f>
        <v>0</v>
      </c>
      <c r="Y10" s="23">
        <f>SUM(Y11:Y19)</f>
        <v>1000000</v>
      </c>
      <c r="Z10" s="24">
        <f>V10+W10+X10</f>
        <v>30</v>
      </c>
      <c r="AA10" s="88"/>
      <c r="AB10" s="43">
        <f>SUM(AB11:AB18)</f>
        <v>0</v>
      </c>
      <c r="AC10" s="43">
        <f>SUM(AC11:AC18)</f>
        <v>0</v>
      </c>
      <c r="AD10" s="43">
        <f>SUM(AD11:AD18)</f>
        <v>0</v>
      </c>
      <c r="AE10" s="23">
        <f>SUM(AE11:AE19)</f>
        <v>0</v>
      </c>
      <c r="AF10" s="24">
        <f>AB10+AC10+AD10</f>
        <v>0</v>
      </c>
      <c r="AG10" s="88"/>
      <c r="AH10" s="43">
        <f>SUM(AH11:AH18)</f>
        <v>0</v>
      </c>
      <c r="AI10" s="43">
        <f>SUM(AI11:AI18)</f>
        <v>0</v>
      </c>
      <c r="AJ10" s="43">
        <f>SUM(AJ11:AJ18)</f>
        <v>0</v>
      </c>
      <c r="AK10" s="23">
        <f>SUM(AK11:AK19)</f>
        <v>0</v>
      </c>
      <c r="AL10" s="24">
        <f>AH10+AI10+AJ10</f>
        <v>0</v>
      </c>
      <c r="AM10" s="88"/>
      <c r="AN10" s="43">
        <f>SUM(AN11:AN18)</f>
        <v>10</v>
      </c>
      <c r="AO10" s="43">
        <f>SUM(AO11:AO18)</f>
        <v>44</v>
      </c>
      <c r="AP10" s="43">
        <f>SUM(AP11:AP18)</f>
        <v>0</v>
      </c>
      <c r="AQ10" s="23">
        <f>SUM(AQ11:AQ19)</f>
        <v>1000000</v>
      </c>
      <c r="AR10" s="24">
        <f>AN10+AO10+AP10</f>
        <v>54</v>
      </c>
      <c r="AS10" s="88"/>
      <c r="AT10" s="43">
        <f>SUM(AT11:AT18)</f>
        <v>0</v>
      </c>
      <c r="AU10" s="43">
        <f>SUM(AU11:AU18)</f>
        <v>40</v>
      </c>
      <c r="AV10" s="43">
        <f>SUM(AV11:AV18)</f>
        <v>0</v>
      </c>
      <c r="AW10" s="23">
        <f>SUM(AW11:AW19)</f>
        <v>0</v>
      </c>
      <c r="AX10" s="24">
        <f>AT10+AU10+AV10</f>
        <v>40</v>
      </c>
      <c r="AY10" s="88"/>
      <c r="AZ10" s="43">
        <f>SUM(AZ11:AZ18)</f>
        <v>4</v>
      </c>
      <c r="BA10" s="43">
        <f>SUM(BA11:BA18)</f>
        <v>48</v>
      </c>
      <c r="BB10" s="43">
        <f>SUM(BB11:BB18)</f>
        <v>0</v>
      </c>
      <c r="BC10" s="23">
        <f>SUM(BC11:BC19)</f>
        <v>400000</v>
      </c>
      <c r="BD10" s="24">
        <f>AZ10+BA10+BB10</f>
        <v>52</v>
      </c>
      <c r="BE10" s="88"/>
      <c r="BF10" s="43">
        <f>SUM(BF11:BF18)</f>
        <v>0</v>
      </c>
      <c r="BG10" s="43">
        <f>SUM(BG11:BG18)</f>
        <v>0</v>
      </c>
      <c r="BH10" s="43">
        <f>SUM(BH11:BH18)</f>
        <v>0</v>
      </c>
      <c r="BI10" s="23">
        <f>SUM(BI11:BI19)</f>
        <v>0</v>
      </c>
      <c r="BJ10" s="24">
        <f>BF10+BG10+BH10</f>
        <v>0</v>
      </c>
      <c r="BK10" s="88"/>
      <c r="BL10" s="43">
        <f>SUM(BL11:BL18)</f>
        <v>0</v>
      </c>
      <c r="BM10" s="43">
        <f>SUM(BM11:BM18)</f>
        <v>0</v>
      </c>
      <c r="BN10" s="43">
        <f>SUM(BN11:BN18)</f>
        <v>0</v>
      </c>
      <c r="BO10" s="23">
        <f>SUM(BO11:BO19)</f>
        <v>0</v>
      </c>
      <c r="BP10" s="24">
        <f>BL10+BM10+BN10</f>
        <v>0</v>
      </c>
      <c r="BQ10" s="88"/>
      <c r="BR10" s="43">
        <f>SUM(BR11:BR18)</f>
        <v>0</v>
      </c>
      <c r="BS10" s="43">
        <f>SUM(BS11:BS18)</f>
        <v>14</v>
      </c>
      <c r="BT10" s="43">
        <f>SUM(BT11:BT18)</f>
        <v>0</v>
      </c>
      <c r="BU10" s="23">
        <f>SUM(BU11:BU19)</f>
        <v>0</v>
      </c>
      <c r="BV10" s="24">
        <f>BR10+BS10+BT10</f>
        <v>14</v>
      </c>
      <c r="BW10" s="88"/>
      <c r="BX10" s="43">
        <f>SUM(BX11:BX18)</f>
        <v>0</v>
      </c>
      <c r="BY10" s="43">
        <f>SUM(BY11:BY18)</f>
        <v>25</v>
      </c>
      <c r="BZ10" s="43">
        <f>SUM(BZ11:BZ18)</f>
        <v>0</v>
      </c>
      <c r="CA10" s="23">
        <f>SUM(CA11:CA19)</f>
        <v>0</v>
      </c>
      <c r="CB10" s="72">
        <f>BX10+BY10+BZ10</f>
        <v>25</v>
      </c>
      <c r="CC10" s="88"/>
      <c r="CD10" s="43">
        <f>SUM(CD11:CD18)</f>
        <v>0</v>
      </c>
      <c r="CE10" s="43">
        <f>SUM(CE11:CE18)</f>
        <v>0</v>
      </c>
      <c r="CF10" s="43">
        <f>SUM(CF11:CF18)</f>
        <v>0</v>
      </c>
      <c r="CG10" s="23">
        <f>SUM(CG11:CG19)</f>
        <v>0</v>
      </c>
      <c r="CH10" s="72">
        <f>CD10+CE10+CF10</f>
        <v>0</v>
      </c>
      <c r="CI10" s="100"/>
      <c r="CJ10" s="43">
        <f>SUM(CJ11:CJ18)</f>
        <v>0</v>
      </c>
      <c r="CK10" s="43">
        <f>SUM(CK11:CK18)</f>
        <v>16</v>
      </c>
      <c r="CL10" s="43">
        <f>SUM(CL11:CL18)</f>
        <v>0</v>
      </c>
      <c r="CM10" s="23">
        <f>SUM(CM11:CM19)</f>
        <v>0</v>
      </c>
      <c r="CN10" s="23">
        <f>CJ10+CK10+CL10</f>
        <v>16</v>
      </c>
    </row>
    <row r="11" spans="1:92" s="1" customFormat="1" ht="23.25" customHeight="1" x14ac:dyDescent="0.35">
      <c r="A11" s="25" t="s">
        <v>65</v>
      </c>
      <c r="B11" s="42" t="s">
        <v>66</v>
      </c>
      <c r="C11" s="89">
        <v>60000</v>
      </c>
      <c r="D11" s="74"/>
      <c r="E11" s="74"/>
      <c r="F11" s="74"/>
      <c r="G11" s="3">
        <f t="shared" ref="G11:G19" si="0">C11*(D11+E11+F11)</f>
        <v>0</v>
      </c>
      <c r="H11" s="290" t="s">
        <v>441</v>
      </c>
      <c r="I11" s="89">
        <v>60000</v>
      </c>
      <c r="J11" s="74"/>
      <c r="K11" s="74">
        <v>2</v>
      </c>
      <c r="L11" s="74"/>
      <c r="M11" s="3">
        <f t="shared" ref="M11:M19" si="1">I11*(J11+K11+L11)</f>
        <v>120000</v>
      </c>
      <c r="N11" s="290" t="s">
        <v>441</v>
      </c>
      <c r="O11" s="89">
        <v>60000</v>
      </c>
      <c r="P11" s="74"/>
      <c r="Q11" s="74"/>
      <c r="R11" s="74"/>
      <c r="S11" s="3">
        <f t="shared" ref="S11:S19" si="2">O11*(P11+Q11+R11)</f>
        <v>0</v>
      </c>
      <c r="T11" s="290" t="s">
        <v>441</v>
      </c>
      <c r="U11" s="89">
        <v>60000</v>
      </c>
      <c r="V11" s="74"/>
      <c r="W11" s="74"/>
      <c r="X11" s="74"/>
      <c r="Y11" s="3">
        <f t="shared" ref="Y11:Y19" si="3">U11*(V11+W11+X11)</f>
        <v>0</v>
      </c>
      <c r="Z11" s="290" t="s">
        <v>441</v>
      </c>
      <c r="AA11" s="89">
        <v>60000</v>
      </c>
      <c r="AB11" s="74"/>
      <c r="AC11" s="74"/>
      <c r="AD11" s="74"/>
      <c r="AE11" s="3">
        <f t="shared" ref="AE11:AE19" si="4">AA11*(AB11+AC11+AD11)</f>
        <v>0</v>
      </c>
      <c r="AF11" s="290" t="s">
        <v>441</v>
      </c>
      <c r="AG11" s="89">
        <v>60000</v>
      </c>
      <c r="AH11" s="74"/>
      <c r="AI11" s="74"/>
      <c r="AJ11" s="74"/>
      <c r="AK11" s="3">
        <f t="shared" ref="AK11:AK19" si="5">AG11*(AH11+AI11+AJ11)</f>
        <v>0</v>
      </c>
      <c r="AL11" s="290" t="s">
        <v>441</v>
      </c>
      <c r="AM11" s="89">
        <v>60000</v>
      </c>
      <c r="AN11" s="74"/>
      <c r="AO11" s="74"/>
      <c r="AP11" s="74"/>
      <c r="AQ11" s="3">
        <f t="shared" ref="AQ11:AQ19" si="6">AM11*(AN11+AO11+AP11)</f>
        <v>0</v>
      </c>
      <c r="AR11" s="290" t="s">
        <v>441</v>
      </c>
      <c r="AS11" s="89">
        <v>60000</v>
      </c>
      <c r="AT11" s="74"/>
      <c r="AU11" s="74"/>
      <c r="AV11" s="74"/>
      <c r="AW11" s="3">
        <f t="shared" ref="AW11:AW19" si="7">AS11*(AT11+AU11+AV11)</f>
        <v>0</v>
      </c>
      <c r="AX11" s="290" t="s">
        <v>441</v>
      </c>
      <c r="AY11" s="89">
        <v>60000</v>
      </c>
      <c r="AZ11" s="74"/>
      <c r="BA11" s="74"/>
      <c r="BB11" s="74"/>
      <c r="BC11" s="3">
        <f t="shared" ref="BC11:BC19" si="8">AY11*(AZ11+BA11+BB11)</f>
        <v>0</v>
      </c>
      <c r="BD11" s="290" t="s">
        <v>441</v>
      </c>
      <c r="BE11" s="89">
        <v>60000</v>
      </c>
      <c r="BF11" s="74"/>
      <c r="BG11" s="74"/>
      <c r="BH11" s="74"/>
      <c r="BI11" s="3">
        <f t="shared" ref="BI11:BI19" si="9">BE11*(BF11+BG11+BH11)</f>
        <v>0</v>
      </c>
      <c r="BJ11" s="290" t="s">
        <v>441</v>
      </c>
      <c r="BK11" s="89">
        <v>60000</v>
      </c>
      <c r="BL11" s="74"/>
      <c r="BM11" s="74"/>
      <c r="BN11" s="74"/>
      <c r="BO11" s="3">
        <f t="shared" ref="BO11:BO19" si="10">BK11*(BL11+BM11+BN11)</f>
        <v>0</v>
      </c>
      <c r="BP11" s="290" t="s">
        <v>441</v>
      </c>
      <c r="BQ11" s="89">
        <v>60000</v>
      </c>
      <c r="BR11" s="74"/>
      <c r="BS11" s="74"/>
      <c r="BT11" s="74"/>
      <c r="BU11" s="3">
        <f t="shared" ref="BU11:BU19" si="11">BQ11*(BR11+BS11+BT11)</f>
        <v>0</v>
      </c>
      <c r="BV11" s="290" t="s">
        <v>441</v>
      </c>
      <c r="BW11" s="129">
        <v>100000</v>
      </c>
      <c r="BX11" s="74"/>
      <c r="BY11" s="74"/>
      <c r="BZ11" s="74"/>
      <c r="CA11" s="3">
        <f t="shared" ref="CA11:CA19" si="12">BW11*(BX11+BY11+BZ11)</f>
        <v>0</v>
      </c>
      <c r="CB11" s="292" t="s">
        <v>442</v>
      </c>
      <c r="CC11" s="89">
        <v>60000</v>
      </c>
      <c r="CD11" s="74"/>
      <c r="CE11" s="74"/>
      <c r="CF11" s="74"/>
      <c r="CG11" s="3">
        <f t="shared" ref="CG11:CG19" si="13">CC11*(CD11+CE11+CF11)</f>
        <v>0</v>
      </c>
      <c r="CH11" s="292" t="s">
        <v>441</v>
      </c>
      <c r="CI11" s="101">
        <v>60000</v>
      </c>
      <c r="CJ11" s="74"/>
      <c r="CK11" s="74"/>
      <c r="CL11" s="74"/>
      <c r="CM11" s="3">
        <f t="shared" ref="CM11:CM19" si="14">CI11*(CJ11+CK11+CL11)</f>
        <v>0</v>
      </c>
      <c r="CN11" s="302" t="s">
        <v>441</v>
      </c>
    </row>
    <row r="12" spans="1:92" s="1" customFormat="1" ht="23.25" customHeight="1" x14ac:dyDescent="0.35">
      <c r="A12" s="25" t="s">
        <v>73</v>
      </c>
      <c r="B12" s="42" t="s">
        <v>74</v>
      </c>
      <c r="C12" s="89"/>
      <c r="D12" s="74"/>
      <c r="E12" s="74"/>
      <c r="F12" s="74"/>
      <c r="G12" s="3">
        <f t="shared" si="0"/>
        <v>0</v>
      </c>
      <c r="H12" s="287"/>
      <c r="I12" s="89"/>
      <c r="J12" s="74"/>
      <c r="K12" s="74">
        <v>18</v>
      </c>
      <c r="L12" s="74"/>
      <c r="M12" s="3">
        <f t="shared" si="1"/>
        <v>0</v>
      </c>
      <c r="N12" s="287"/>
      <c r="O12" s="89"/>
      <c r="P12" s="74"/>
      <c r="Q12" s="74">
        <v>3</v>
      </c>
      <c r="R12" s="74"/>
      <c r="S12" s="3">
        <f t="shared" si="2"/>
        <v>0</v>
      </c>
      <c r="T12" s="287"/>
      <c r="U12" s="89"/>
      <c r="V12" s="74"/>
      <c r="W12" s="74"/>
      <c r="X12" s="74"/>
      <c r="Y12" s="3">
        <f t="shared" si="3"/>
        <v>0</v>
      </c>
      <c r="Z12" s="287"/>
      <c r="AA12" s="89"/>
      <c r="AB12" s="74"/>
      <c r="AC12" s="74"/>
      <c r="AD12" s="74"/>
      <c r="AE12" s="3">
        <f t="shared" si="4"/>
        <v>0</v>
      </c>
      <c r="AF12" s="287"/>
      <c r="AG12" s="89"/>
      <c r="AH12" s="74"/>
      <c r="AI12" s="74"/>
      <c r="AJ12" s="74"/>
      <c r="AK12" s="3">
        <f t="shared" si="5"/>
        <v>0</v>
      </c>
      <c r="AL12" s="287"/>
      <c r="AM12" s="89"/>
      <c r="AN12" s="74"/>
      <c r="AO12" s="74">
        <f>6+12+14</f>
        <v>32</v>
      </c>
      <c r="AP12" s="74"/>
      <c r="AQ12" s="3">
        <f t="shared" si="6"/>
        <v>0</v>
      </c>
      <c r="AR12" s="287"/>
      <c r="AS12" s="89"/>
      <c r="AT12" s="74"/>
      <c r="AU12" s="74">
        <f>3+8+8</f>
        <v>19</v>
      </c>
      <c r="AV12" s="74"/>
      <c r="AW12" s="3">
        <f t="shared" si="7"/>
        <v>0</v>
      </c>
      <c r="AX12" s="287"/>
      <c r="AY12" s="89"/>
      <c r="AZ12" s="74"/>
      <c r="BA12" s="74">
        <f>8+14+18</f>
        <v>40</v>
      </c>
      <c r="BB12" s="74"/>
      <c r="BC12" s="3">
        <f t="shared" si="8"/>
        <v>0</v>
      </c>
      <c r="BD12" s="287"/>
      <c r="BE12" s="89"/>
      <c r="BF12" s="74"/>
      <c r="BG12" s="74"/>
      <c r="BH12" s="74"/>
      <c r="BI12" s="3">
        <f t="shared" si="9"/>
        <v>0</v>
      </c>
      <c r="BJ12" s="287"/>
      <c r="BK12" s="89"/>
      <c r="BL12" s="74"/>
      <c r="BM12" s="74"/>
      <c r="BN12" s="74"/>
      <c r="BO12" s="3">
        <f t="shared" si="10"/>
        <v>0</v>
      </c>
      <c r="BP12" s="287"/>
      <c r="BQ12" s="89"/>
      <c r="BR12" s="74"/>
      <c r="BS12" s="74"/>
      <c r="BT12" s="74"/>
      <c r="BU12" s="3">
        <f t="shared" si="11"/>
        <v>0</v>
      </c>
      <c r="BV12" s="287"/>
      <c r="BW12" s="129"/>
      <c r="BX12" s="74"/>
      <c r="BY12" s="74">
        <v>17</v>
      </c>
      <c r="BZ12" s="74"/>
      <c r="CA12" s="3">
        <f t="shared" si="12"/>
        <v>0</v>
      </c>
      <c r="CB12" s="293"/>
      <c r="CC12" s="89"/>
      <c r="CD12" s="74"/>
      <c r="CE12" s="74"/>
      <c r="CF12" s="74"/>
      <c r="CG12" s="3">
        <f t="shared" si="13"/>
        <v>0</v>
      </c>
      <c r="CH12" s="293"/>
      <c r="CI12" s="101"/>
      <c r="CJ12" s="74"/>
      <c r="CK12" s="74"/>
      <c r="CL12" s="74"/>
      <c r="CM12" s="3">
        <f t="shared" si="14"/>
        <v>0</v>
      </c>
      <c r="CN12" s="303"/>
    </row>
    <row r="13" spans="1:92" s="1" customFormat="1" ht="23.25" customHeight="1" x14ac:dyDescent="0.35">
      <c r="A13" s="25" t="s">
        <v>75</v>
      </c>
      <c r="B13" s="42" t="s">
        <v>76</v>
      </c>
      <c r="C13" s="89"/>
      <c r="D13" s="74"/>
      <c r="E13" s="74">
        <v>15</v>
      </c>
      <c r="F13" s="74"/>
      <c r="G13" s="3">
        <f t="shared" si="0"/>
        <v>0</v>
      </c>
      <c r="H13" s="287"/>
      <c r="I13" s="89"/>
      <c r="J13" s="74"/>
      <c r="K13" s="74"/>
      <c r="L13" s="74"/>
      <c r="M13" s="3">
        <f t="shared" si="1"/>
        <v>0</v>
      </c>
      <c r="N13" s="287"/>
      <c r="O13" s="89"/>
      <c r="P13" s="74"/>
      <c r="Q13" s="74">
        <v>6</v>
      </c>
      <c r="R13" s="74"/>
      <c r="S13" s="3">
        <f t="shared" si="2"/>
        <v>0</v>
      </c>
      <c r="T13" s="287"/>
      <c r="U13" s="89"/>
      <c r="V13" s="74"/>
      <c r="W13" s="74"/>
      <c r="X13" s="74"/>
      <c r="Y13" s="3">
        <f t="shared" si="3"/>
        <v>0</v>
      </c>
      <c r="Z13" s="287"/>
      <c r="AA13" s="89"/>
      <c r="AB13" s="74"/>
      <c r="AC13" s="74"/>
      <c r="AD13" s="74"/>
      <c r="AE13" s="3">
        <f t="shared" si="4"/>
        <v>0</v>
      </c>
      <c r="AF13" s="287"/>
      <c r="AG13" s="89"/>
      <c r="AH13" s="74"/>
      <c r="AI13" s="74"/>
      <c r="AJ13" s="74"/>
      <c r="AK13" s="3">
        <f t="shared" si="5"/>
        <v>0</v>
      </c>
      <c r="AL13" s="287"/>
      <c r="AM13" s="89"/>
      <c r="AN13" s="74"/>
      <c r="AO13" s="74">
        <v>12</v>
      </c>
      <c r="AP13" s="74"/>
      <c r="AQ13" s="3">
        <f t="shared" si="6"/>
        <v>0</v>
      </c>
      <c r="AR13" s="287"/>
      <c r="AS13" s="89"/>
      <c r="AT13" s="74"/>
      <c r="AU13" s="74">
        <v>6</v>
      </c>
      <c r="AV13" s="74"/>
      <c r="AW13" s="3">
        <f t="shared" si="7"/>
        <v>0</v>
      </c>
      <c r="AX13" s="287"/>
      <c r="AY13" s="89"/>
      <c r="AZ13" s="74"/>
      <c r="BA13" s="74">
        <v>8</v>
      </c>
      <c r="BB13" s="74"/>
      <c r="BC13" s="3">
        <f t="shared" si="8"/>
        <v>0</v>
      </c>
      <c r="BD13" s="287"/>
      <c r="BE13" s="89"/>
      <c r="BF13" s="74"/>
      <c r="BG13" s="74"/>
      <c r="BH13" s="74"/>
      <c r="BI13" s="3">
        <f t="shared" si="9"/>
        <v>0</v>
      </c>
      <c r="BJ13" s="287"/>
      <c r="BK13" s="89"/>
      <c r="BL13" s="74"/>
      <c r="BM13" s="74"/>
      <c r="BN13" s="74"/>
      <c r="BO13" s="3">
        <f t="shared" si="10"/>
        <v>0</v>
      </c>
      <c r="BP13" s="287"/>
      <c r="BQ13" s="89"/>
      <c r="BR13" s="74"/>
      <c r="BS13" s="74"/>
      <c r="BT13" s="74"/>
      <c r="BU13" s="3">
        <f t="shared" si="11"/>
        <v>0</v>
      </c>
      <c r="BV13" s="287"/>
      <c r="BW13" s="129"/>
      <c r="BX13" s="74"/>
      <c r="BY13" s="74">
        <v>8</v>
      </c>
      <c r="BZ13" s="74"/>
      <c r="CA13" s="3">
        <f t="shared" si="12"/>
        <v>0</v>
      </c>
      <c r="CB13" s="293"/>
      <c r="CC13" s="89"/>
      <c r="CD13" s="74"/>
      <c r="CE13" s="74"/>
      <c r="CF13" s="74"/>
      <c r="CG13" s="3">
        <f t="shared" si="13"/>
        <v>0</v>
      </c>
      <c r="CH13" s="293"/>
      <c r="CI13" s="101"/>
      <c r="CJ13" s="74"/>
      <c r="CK13" s="74"/>
      <c r="CL13" s="74"/>
      <c r="CM13" s="3">
        <f t="shared" si="14"/>
        <v>0</v>
      </c>
      <c r="CN13" s="303"/>
    </row>
    <row r="14" spans="1:92" s="1" customFormat="1" ht="23.25" customHeight="1" x14ac:dyDescent="0.35">
      <c r="A14" s="25" t="s">
        <v>77</v>
      </c>
      <c r="B14" s="42" t="s">
        <v>78</v>
      </c>
      <c r="C14" s="89"/>
      <c r="D14" s="74"/>
      <c r="E14" s="74">
        <v>6</v>
      </c>
      <c r="F14" s="74"/>
      <c r="G14" s="3">
        <f t="shared" si="0"/>
        <v>0</v>
      </c>
      <c r="H14" s="287"/>
      <c r="I14" s="89"/>
      <c r="J14" s="74"/>
      <c r="K14" s="74"/>
      <c r="L14" s="74"/>
      <c r="M14" s="3">
        <f t="shared" si="1"/>
        <v>0</v>
      </c>
      <c r="N14" s="287"/>
      <c r="O14" s="89"/>
      <c r="P14" s="74"/>
      <c r="Q14" s="74">
        <v>8</v>
      </c>
      <c r="R14" s="74"/>
      <c r="S14" s="3">
        <f t="shared" si="2"/>
        <v>0</v>
      </c>
      <c r="T14" s="287"/>
      <c r="U14" s="89"/>
      <c r="V14" s="74"/>
      <c r="W14" s="74">
        <v>14</v>
      </c>
      <c r="X14" s="74"/>
      <c r="Y14" s="3">
        <f t="shared" si="3"/>
        <v>0</v>
      </c>
      <c r="Z14" s="287"/>
      <c r="AA14" s="89"/>
      <c r="AB14" s="74"/>
      <c r="AC14" s="74"/>
      <c r="AD14" s="74"/>
      <c r="AE14" s="3">
        <f t="shared" si="4"/>
        <v>0</v>
      </c>
      <c r="AF14" s="287"/>
      <c r="AG14" s="89"/>
      <c r="AH14" s="74"/>
      <c r="AI14" s="74"/>
      <c r="AJ14" s="74"/>
      <c r="AK14" s="3">
        <f t="shared" si="5"/>
        <v>0</v>
      </c>
      <c r="AL14" s="287"/>
      <c r="AM14" s="89"/>
      <c r="AN14" s="74"/>
      <c r="AO14" s="74"/>
      <c r="AP14" s="74"/>
      <c r="AQ14" s="3">
        <f t="shared" si="6"/>
        <v>0</v>
      </c>
      <c r="AR14" s="287"/>
      <c r="AS14" s="89"/>
      <c r="AT14" s="74"/>
      <c r="AU14" s="74">
        <v>10</v>
      </c>
      <c r="AV14" s="74"/>
      <c r="AW14" s="3">
        <f t="shared" si="7"/>
        <v>0</v>
      </c>
      <c r="AX14" s="287"/>
      <c r="AY14" s="89"/>
      <c r="AZ14" s="74"/>
      <c r="BA14" s="74"/>
      <c r="BB14" s="74"/>
      <c r="BC14" s="3">
        <f t="shared" si="8"/>
        <v>0</v>
      </c>
      <c r="BD14" s="287"/>
      <c r="BE14" s="89"/>
      <c r="BF14" s="74"/>
      <c r="BG14" s="74"/>
      <c r="BH14" s="74"/>
      <c r="BI14" s="3">
        <f t="shared" si="9"/>
        <v>0</v>
      </c>
      <c r="BJ14" s="287"/>
      <c r="BK14" s="89"/>
      <c r="BL14" s="74"/>
      <c r="BM14" s="74"/>
      <c r="BN14" s="74"/>
      <c r="BO14" s="3">
        <f t="shared" si="10"/>
        <v>0</v>
      </c>
      <c r="BP14" s="287"/>
      <c r="BQ14" s="89"/>
      <c r="BR14" s="74"/>
      <c r="BS14" s="74">
        <v>14</v>
      </c>
      <c r="BT14" s="74"/>
      <c r="BU14" s="3">
        <f t="shared" si="11"/>
        <v>0</v>
      </c>
      <c r="BV14" s="287"/>
      <c r="BW14" s="129"/>
      <c r="BX14" s="74"/>
      <c r="BY14" s="74"/>
      <c r="BZ14" s="74"/>
      <c r="CA14" s="3">
        <f t="shared" si="12"/>
        <v>0</v>
      </c>
      <c r="CB14" s="293"/>
      <c r="CC14" s="89"/>
      <c r="CD14" s="74"/>
      <c r="CE14" s="74"/>
      <c r="CF14" s="74"/>
      <c r="CG14" s="3">
        <f t="shared" si="13"/>
        <v>0</v>
      </c>
      <c r="CH14" s="293"/>
      <c r="CI14" s="101"/>
      <c r="CJ14" s="74"/>
      <c r="CK14" s="74">
        <f>4+12</f>
        <v>16</v>
      </c>
      <c r="CL14" s="74"/>
      <c r="CM14" s="3">
        <f t="shared" si="14"/>
        <v>0</v>
      </c>
      <c r="CN14" s="303"/>
    </row>
    <row r="15" spans="1:92" s="1" customFormat="1" ht="23.25" customHeight="1" x14ac:dyDescent="0.35">
      <c r="A15" s="25" t="s">
        <v>79</v>
      </c>
      <c r="B15" s="42" t="s">
        <v>80</v>
      </c>
      <c r="C15" s="89"/>
      <c r="D15" s="74"/>
      <c r="E15" s="74"/>
      <c r="F15" s="74"/>
      <c r="G15" s="3">
        <f t="shared" si="0"/>
        <v>0</v>
      </c>
      <c r="H15" s="287"/>
      <c r="I15" s="89"/>
      <c r="J15" s="74"/>
      <c r="K15" s="74">
        <v>7</v>
      </c>
      <c r="L15" s="74"/>
      <c r="M15" s="3">
        <f t="shared" si="1"/>
        <v>0</v>
      </c>
      <c r="N15" s="287"/>
      <c r="O15" s="89"/>
      <c r="P15" s="74"/>
      <c r="Q15" s="74">
        <v>8</v>
      </c>
      <c r="R15" s="74"/>
      <c r="S15" s="3">
        <f t="shared" si="2"/>
        <v>0</v>
      </c>
      <c r="T15" s="287"/>
      <c r="U15" s="89"/>
      <c r="V15" s="74"/>
      <c r="W15" s="74">
        <v>6</v>
      </c>
      <c r="X15" s="74"/>
      <c r="Y15" s="3">
        <f t="shared" si="3"/>
        <v>0</v>
      </c>
      <c r="Z15" s="287"/>
      <c r="AA15" s="89"/>
      <c r="AB15" s="74"/>
      <c r="AC15" s="74"/>
      <c r="AD15" s="74"/>
      <c r="AE15" s="3">
        <f t="shared" si="4"/>
        <v>0</v>
      </c>
      <c r="AF15" s="287"/>
      <c r="AG15" s="89"/>
      <c r="AH15" s="74"/>
      <c r="AI15" s="74"/>
      <c r="AJ15" s="74"/>
      <c r="AK15" s="3">
        <f t="shared" si="5"/>
        <v>0</v>
      </c>
      <c r="AL15" s="287"/>
      <c r="AM15" s="89"/>
      <c r="AN15" s="74"/>
      <c r="AO15" s="74"/>
      <c r="AP15" s="74"/>
      <c r="AQ15" s="3">
        <f t="shared" si="6"/>
        <v>0</v>
      </c>
      <c r="AR15" s="287"/>
      <c r="AS15" s="89"/>
      <c r="AT15" s="74"/>
      <c r="AU15" s="74">
        <v>5</v>
      </c>
      <c r="AV15" s="74"/>
      <c r="AW15" s="3">
        <f t="shared" si="7"/>
        <v>0</v>
      </c>
      <c r="AX15" s="287"/>
      <c r="AY15" s="89"/>
      <c r="AZ15" s="74"/>
      <c r="BA15" s="74"/>
      <c r="BB15" s="74"/>
      <c r="BC15" s="3">
        <f t="shared" si="8"/>
        <v>0</v>
      </c>
      <c r="BD15" s="287"/>
      <c r="BE15" s="89"/>
      <c r="BF15" s="74"/>
      <c r="BG15" s="74"/>
      <c r="BH15" s="74"/>
      <c r="BI15" s="3">
        <f t="shared" si="9"/>
        <v>0</v>
      </c>
      <c r="BJ15" s="287"/>
      <c r="BK15" s="89"/>
      <c r="BL15" s="74"/>
      <c r="BM15" s="74"/>
      <c r="BN15" s="74"/>
      <c r="BO15" s="3">
        <f t="shared" si="10"/>
        <v>0</v>
      </c>
      <c r="BP15" s="287"/>
      <c r="BQ15" s="89"/>
      <c r="BR15" s="74"/>
      <c r="BS15" s="74"/>
      <c r="BT15" s="74"/>
      <c r="BU15" s="3">
        <f t="shared" si="11"/>
        <v>0</v>
      </c>
      <c r="BV15" s="287"/>
      <c r="BW15" s="129"/>
      <c r="BX15" s="74"/>
      <c r="BY15" s="74"/>
      <c r="BZ15" s="74"/>
      <c r="CA15" s="3">
        <f t="shared" si="12"/>
        <v>0</v>
      </c>
      <c r="CB15" s="293"/>
      <c r="CC15" s="89"/>
      <c r="CD15" s="74"/>
      <c r="CE15" s="74"/>
      <c r="CF15" s="74"/>
      <c r="CG15" s="3">
        <f t="shared" si="13"/>
        <v>0</v>
      </c>
      <c r="CH15" s="293"/>
      <c r="CI15" s="101"/>
      <c r="CJ15" s="74"/>
      <c r="CK15" s="74"/>
      <c r="CL15" s="74"/>
      <c r="CM15" s="3">
        <f t="shared" si="14"/>
        <v>0</v>
      </c>
      <c r="CN15" s="303"/>
    </row>
    <row r="16" spans="1:92" s="15" customFormat="1" ht="23.25" customHeight="1" x14ac:dyDescent="0.35">
      <c r="A16" s="25" t="s">
        <v>81</v>
      </c>
      <c r="B16" s="42" t="s">
        <v>82</v>
      </c>
      <c r="C16" s="89">
        <v>100000</v>
      </c>
      <c r="D16" s="74"/>
      <c r="E16" s="74"/>
      <c r="F16" s="74"/>
      <c r="G16" s="3">
        <f t="shared" si="0"/>
        <v>0</v>
      </c>
      <c r="H16" s="287"/>
      <c r="I16" s="89">
        <v>100000</v>
      </c>
      <c r="J16" s="74"/>
      <c r="K16" s="74"/>
      <c r="L16" s="74"/>
      <c r="M16" s="3">
        <f t="shared" si="1"/>
        <v>0</v>
      </c>
      <c r="N16" s="287"/>
      <c r="O16" s="89">
        <v>100000</v>
      </c>
      <c r="P16" s="74"/>
      <c r="Q16" s="74"/>
      <c r="R16" s="74"/>
      <c r="S16" s="3">
        <f t="shared" si="2"/>
        <v>0</v>
      </c>
      <c r="T16" s="287"/>
      <c r="U16" s="89">
        <v>100000</v>
      </c>
      <c r="V16" s="74">
        <v>10</v>
      </c>
      <c r="W16" s="74"/>
      <c r="X16" s="74"/>
      <c r="Y16" s="3">
        <f t="shared" si="3"/>
        <v>1000000</v>
      </c>
      <c r="Z16" s="287"/>
      <c r="AA16" s="89">
        <v>100000</v>
      </c>
      <c r="AB16" s="74"/>
      <c r="AC16" s="74"/>
      <c r="AD16" s="74"/>
      <c r="AE16" s="3">
        <f t="shared" si="4"/>
        <v>0</v>
      </c>
      <c r="AF16" s="287"/>
      <c r="AG16" s="89">
        <v>100000</v>
      </c>
      <c r="AH16" s="74"/>
      <c r="AI16" s="74"/>
      <c r="AJ16" s="74"/>
      <c r="AK16" s="3">
        <f t="shared" si="5"/>
        <v>0</v>
      </c>
      <c r="AL16" s="287"/>
      <c r="AM16" s="89">
        <v>100000</v>
      </c>
      <c r="AN16" s="74">
        <v>10</v>
      </c>
      <c r="AO16" s="74"/>
      <c r="AP16" s="74"/>
      <c r="AQ16" s="3">
        <f t="shared" si="6"/>
        <v>1000000</v>
      </c>
      <c r="AR16" s="287"/>
      <c r="AS16" s="89">
        <v>100000</v>
      </c>
      <c r="AT16" s="74"/>
      <c r="AU16" s="74"/>
      <c r="AV16" s="74"/>
      <c r="AW16" s="3">
        <f t="shared" si="7"/>
        <v>0</v>
      </c>
      <c r="AX16" s="287"/>
      <c r="AY16" s="89">
        <v>100000</v>
      </c>
      <c r="AZ16" s="74">
        <v>4</v>
      </c>
      <c r="BA16" s="74"/>
      <c r="BB16" s="74"/>
      <c r="BC16" s="3">
        <f t="shared" si="8"/>
        <v>400000</v>
      </c>
      <c r="BD16" s="287"/>
      <c r="BE16" s="89">
        <v>100000</v>
      </c>
      <c r="BF16" s="74"/>
      <c r="BG16" s="74"/>
      <c r="BH16" s="74"/>
      <c r="BI16" s="3">
        <f t="shared" si="9"/>
        <v>0</v>
      </c>
      <c r="BJ16" s="287"/>
      <c r="BK16" s="89">
        <v>100000</v>
      </c>
      <c r="BL16" s="74"/>
      <c r="BM16" s="74"/>
      <c r="BN16" s="74"/>
      <c r="BO16" s="3">
        <f t="shared" si="10"/>
        <v>0</v>
      </c>
      <c r="BP16" s="287"/>
      <c r="BQ16" s="89">
        <v>100000</v>
      </c>
      <c r="BR16" s="74"/>
      <c r="BS16" s="74"/>
      <c r="BT16" s="74"/>
      <c r="BU16" s="3">
        <f t="shared" si="11"/>
        <v>0</v>
      </c>
      <c r="BV16" s="287"/>
      <c r="BW16" s="89">
        <v>100000</v>
      </c>
      <c r="BX16" s="74"/>
      <c r="BY16" s="74"/>
      <c r="BZ16" s="74"/>
      <c r="CA16" s="3">
        <f t="shared" si="12"/>
        <v>0</v>
      </c>
      <c r="CB16" s="293"/>
      <c r="CC16" s="89">
        <v>100000</v>
      </c>
      <c r="CD16" s="74"/>
      <c r="CE16" s="74"/>
      <c r="CF16" s="74"/>
      <c r="CG16" s="3">
        <f t="shared" si="13"/>
        <v>0</v>
      </c>
      <c r="CH16" s="293"/>
      <c r="CI16" s="101">
        <v>100000</v>
      </c>
      <c r="CJ16" s="74"/>
      <c r="CK16" s="74"/>
      <c r="CL16" s="74"/>
      <c r="CM16" s="3">
        <f t="shared" si="14"/>
        <v>0</v>
      </c>
      <c r="CN16" s="303"/>
    </row>
    <row r="17" spans="1:92" s="1" customFormat="1" ht="23.25" customHeight="1" x14ac:dyDescent="0.35">
      <c r="A17" s="25" t="s">
        <v>83</v>
      </c>
      <c r="B17" s="42" t="s">
        <v>84</v>
      </c>
      <c r="C17" s="89">
        <v>92500</v>
      </c>
      <c r="D17" s="74"/>
      <c r="E17" s="74"/>
      <c r="F17" s="74"/>
      <c r="G17" s="3">
        <f t="shared" si="0"/>
        <v>0</v>
      </c>
      <c r="H17" s="288"/>
      <c r="I17" s="89">
        <v>92500</v>
      </c>
      <c r="J17" s="74"/>
      <c r="K17" s="74"/>
      <c r="L17" s="74"/>
      <c r="M17" s="3">
        <f t="shared" si="1"/>
        <v>0</v>
      </c>
      <c r="N17" s="288"/>
      <c r="O17" s="89">
        <v>92500</v>
      </c>
      <c r="P17" s="74"/>
      <c r="Q17" s="74"/>
      <c r="R17" s="74"/>
      <c r="S17" s="3">
        <f t="shared" si="2"/>
        <v>0</v>
      </c>
      <c r="T17" s="288"/>
      <c r="U17" s="89">
        <v>92500</v>
      </c>
      <c r="V17" s="74"/>
      <c r="W17" s="74"/>
      <c r="X17" s="74"/>
      <c r="Y17" s="3">
        <f t="shared" si="3"/>
        <v>0</v>
      </c>
      <c r="Z17" s="288"/>
      <c r="AA17" s="89">
        <v>92500</v>
      </c>
      <c r="AB17" s="74"/>
      <c r="AC17" s="74"/>
      <c r="AD17" s="74"/>
      <c r="AE17" s="3">
        <f t="shared" si="4"/>
        <v>0</v>
      </c>
      <c r="AF17" s="288"/>
      <c r="AG17" s="89">
        <v>92500</v>
      </c>
      <c r="AH17" s="74"/>
      <c r="AI17" s="74"/>
      <c r="AJ17" s="74"/>
      <c r="AK17" s="3">
        <f t="shared" si="5"/>
        <v>0</v>
      </c>
      <c r="AL17" s="288"/>
      <c r="AM17" s="89">
        <v>92500</v>
      </c>
      <c r="AN17" s="74"/>
      <c r="AO17" s="74"/>
      <c r="AP17" s="74"/>
      <c r="AQ17" s="3">
        <f t="shared" si="6"/>
        <v>0</v>
      </c>
      <c r="AR17" s="288"/>
      <c r="AS17" s="89">
        <v>92500</v>
      </c>
      <c r="AT17" s="74"/>
      <c r="AU17" s="74"/>
      <c r="AV17" s="74"/>
      <c r="AW17" s="3">
        <f t="shared" si="7"/>
        <v>0</v>
      </c>
      <c r="AX17" s="288"/>
      <c r="AY17" s="89">
        <v>92500</v>
      </c>
      <c r="AZ17" s="74"/>
      <c r="BA17" s="74"/>
      <c r="BB17" s="74"/>
      <c r="BC17" s="3">
        <f t="shared" si="8"/>
        <v>0</v>
      </c>
      <c r="BD17" s="288"/>
      <c r="BE17" s="89">
        <v>92500</v>
      </c>
      <c r="BF17" s="74"/>
      <c r="BG17" s="74"/>
      <c r="BH17" s="74"/>
      <c r="BI17" s="3">
        <f t="shared" si="9"/>
        <v>0</v>
      </c>
      <c r="BJ17" s="288"/>
      <c r="BK17" s="89">
        <v>92500</v>
      </c>
      <c r="BL17" s="74"/>
      <c r="BM17" s="74"/>
      <c r="BN17" s="74"/>
      <c r="BO17" s="3">
        <f t="shared" si="10"/>
        <v>0</v>
      </c>
      <c r="BP17" s="288"/>
      <c r="BQ17" s="89">
        <v>92500</v>
      </c>
      <c r="BR17" s="74"/>
      <c r="BS17" s="74"/>
      <c r="BT17" s="74"/>
      <c r="BU17" s="3">
        <f t="shared" si="11"/>
        <v>0</v>
      </c>
      <c r="BV17" s="288"/>
      <c r="BW17" s="89">
        <v>92500</v>
      </c>
      <c r="BX17" s="74"/>
      <c r="BY17" s="74"/>
      <c r="BZ17" s="74"/>
      <c r="CA17" s="3">
        <f t="shared" si="12"/>
        <v>0</v>
      </c>
      <c r="CB17" s="294"/>
      <c r="CC17" s="89">
        <v>92500</v>
      </c>
      <c r="CD17" s="74"/>
      <c r="CE17" s="74"/>
      <c r="CF17" s="74"/>
      <c r="CG17" s="3">
        <f t="shared" si="13"/>
        <v>0</v>
      </c>
      <c r="CH17" s="294"/>
      <c r="CI17" s="101">
        <v>92500</v>
      </c>
      <c r="CJ17" s="74"/>
      <c r="CK17" s="74"/>
      <c r="CL17" s="74"/>
      <c r="CM17" s="3">
        <f t="shared" si="14"/>
        <v>0</v>
      </c>
      <c r="CN17" s="304"/>
    </row>
    <row r="18" spans="1:92" s="1" customFormat="1" ht="23.25" customHeight="1" x14ac:dyDescent="0.35">
      <c r="A18" s="25" t="s">
        <v>85</v>
      </c>
      <c r="B18" s="46" t="s">
        <v>89</v>
      </c>
      <c r="C18" s="90"/>
      <c r="D18" s="50"/>
      <c r="E18" s="50"/>
      <c r="F18" s="50"/>
      <c r="G18" s="3">
        <f t="shared" si="0"/>
        <v>0</v>
      </c>
      <c r="H18" s="70"/>
      <c r="I18" s="90"/>
      <c r="J18" s="50"/>
      <c r="K18" s="50"/>
      <c r="L18" s="50"/>
      <c r="M18" s="3">
        <f t="shared" si="1"/>
        <v>0</v>
      </c>
      <c r="N18" s="70"/>
      <c r="O18" s="90"/>
      <c r="P18" s="50"/>
      <c r="Q18" s="50"/>
      <c r="R18" s="50"/>
      <c r="S18" s="3">
        <f t="shared" si="2"/>
        <v>0</v>
      </c>
      <c r="T18" s="70"/>
      <c r="U18" s="90"/>
      <c r="V18" s="50"/>
      <c r="W18" s="50"/>
      <c r="X18" s="50"/>
      <c r="Y18" s="3">
        <f t="shared" si="3"/>
        <v>0</v>
      </c>
      <c r="Z18" s="70"/>
      <c r="AA18" s="90"/>
      <c r="AB18" s="50"/>
      <c r="AC18" s="50"/>
      <c r="AD18" s="50"/>
      <c r="AE18" s="3">
        <f t="shared" si="4"/>
        <v>0</v>
      </c>
      <c r="AF18" s="70"/>
      <c r="AG18" s="90"/>
      <c r="AH18" s="50"/>
      <c r="AI18" s="50"/>
      <c r="AJ18" s="50"/>
      <c r="AK18" s="3">
        <f t="shared" si="5"/>
        <v>0</v>
      </c>
      <c r="AL18" s="70"/>
      <c r="AM18" s="90"/>
      <c r="AN18" s="50"/>
      <c r="AO18" s="50"/>
      <c r="AP18" s="50"/>
      <c r="AQ18" s="3">
        <f t="shared" si="6"/>
        <v>0</v>
      </c>
      <c r="AR18" s="70"/>
      <c r="AS18" s="90"/>
      <c r="AT18" s="50"/>
      <c r="AU18" s="50"/>
      <c r="AV18" s="50"/>
      <c r="AW18" s="3">
        <f t="shared" si="7"/>
        <v>0</v>
      </c>
      <c r="AX18" s="70"/>
      <c r="AY18" s="90"/>
      <c r="AZ18" s="50"/>
      <c r="BA18" s="50"/>
      <c r="BB18" s="50"/>
      <c r="BC18" s="3">
        <f t="shared" si="8"/>
        <v>0</v>
      </c>
      <c r="BD18" s="70"/>
      <c r="BE18" s="90"/>
      <c r="BF18" s="50"/>
      <c r="BG18" s="50"/>
      <c r="BH18" s="50"/>
      <c r="BI18" s="3">
        <f t="shared" si="9"/>
        <v>0</v>
      </c>
      <c r="BJ18" s="70"/>
      <c r="BK18" s="90"/>
      <c r="BL18" s="50"/>
      <c r="BM18" s="50"/>
      <c r="BN18" s="50"/>
      <c r="BO18" s="3">
        <f t="shared" si="10"/>
        <v>0</v>
      </c>
      <c r="BP18" s="70"/>
      <c r="BQ18" s="90"/>
      <c r="BR18" s="50"/>
      <c r="BS18" s="50"/>
      <c r="BT18" s="50"/>
      <c r="BU18" s="3">
        <f t="shared" si="11"/>
        <v>0</v>
      </c>
      <c r="BV18" s="70"/>
      <c r="BW18" s="90"/>
      <c r="BX18" s="50"/>
      <c r="BY18" s="50"/>
      <c r="BZ18" s="50"/>
      <c r="CA18" s="3">
        <f t="shared" si="12"/>
        <v>0</v>
      </c>
      <c r="CB18" s="107"/>
      <c r="CC18" s="90"/>
      <c r="CD18" s="50"/>
      <c r="CE18" s="50"/>
      <c r="CF18" s="50"/>
      <c r="CG18" s="3">
        <f t="shared" si="13"/>
        <v>0</v>
      </c>
      <c r="CH18" s="107"/>
      <c r="CI18" s="102"/>
      <c r="CJ18" s="50"/>
      <c r="CK18" s="50"/>
      <c r="CL18" s="50"/>
      <c r="CM18" s="3">
        <f t="shared" si="14"/>
        <v>0</v>
      </c>
      <c r="CN18" s="52"/>
    </row>
    <row r="19" spans="1:92" s="1" customFormat="1" ht="23.25" customHeight="1" x14ac:dyDescent="0.35">
      <c r="A19" s="25" t="s">
        <v>88</v>
      </c>
      <c r="B19" s="46" t="s">
        <v>91</v>
      </c>
      <c r="C19" s="90">
        <v>100000</v>
      </c>
      <c r="D19" s="53"/>
      <c r="E19" s="53"/>
      <c r="F19" s="53"/>
      <c r="G19" s="3">
        <f t="shared" si="0"/>
        <v>0</v>
      </c>
      <c r="H19" s="70"/>
      <c r="I19" s="90">
        <v>100000</v>
      </c>
      <c r="J19" s="53"/>
      <c r="K19" s="53"/>
      <c r="L19" s="53"/>
      <c r="M19" s="3">
        <f t="shared" si="1"/>
        <v>0</v>
      </c>
      <c r="N19" s="70"/>
      <c r="O19" s="90">
        <v>100000</v>
      </c>
      <c r="P19" s="53"/>
      <c r="Q19" s="53"/>
      <c r="R19" s="53"/>
      <c r="S19" s="3">
        <f t="shared" si="2"/>
        <v>0</v>
      </c>
      <c r="T19" s="70"/>
      <c r="U19" s="90">
        <v>100000</v>
      </c>
      <c r="V19" s="53"/>
      <c r="W19" s="53"/>
      <c r="X19" s="53"/>
      <c r="Y19" s="3">
        <f t="shared" si="3"/>
        <v>0</v>
      </c>
      <c r="Z19" s="70"/>
      <c r="AA19" s="90">
        <v>100000</v>
      </c>
      <c r="AB19" s="53"/>
      <c r="AC19" s="53"/>
      <c r="AD19" s="53"/>
      <c r="AE19" s="3">
        <f t="shared" si="4"/>
        <v>0</v>
      </c>
      <c r="AF19" s="70"/>
      <c r="AG19" s="90">
        <v>100000</v>
      </c>
      <c r="AH19" s="53"/>
      <c r="AI19" s="53"/>
      <c r="AJ19" s="53"/>
      <c r="AK19" s="3">
        <f t="shared" si="5"/>
        <v>0</v>
      </c>
      <c r="AL19" s="70"/>
      <c r="AM19" s="90">
        <v>100000</v>
      </c>
      <c r="AN19" s="53"/>
      <c r="AO19" s="53"/>
      <c r="AP19" s="53"/>
      <c r="AQ19" s="3">
        <f t="shared" si="6"/>
        <v>0</v>
      </c>
      <c r="AR19" s="70"/>
      <c r="AS19" s="90">
        <v>100000</v>
      </c>
      <c r="AT19" s="53"/>
      <c r="AU19" s="53"/>
      <c r="AV19" s="53"/>
      <c r="AW19" s="3">
        <f t="shared" si="7"/>
        <v>0</v>
      </c>
      <c r="AX19" s="70"/>
      <c r="AY19" s="90">
        <v>100000</v>
      </c>
      <c r="AZ19" s="53"/>
      <c r="BA19" s="53"/>
      <c r="BB19" s="53"/>
      <c r="BC19" s="3">
        <f t="shared" si="8"/>
        <v>0</v>
      </c>
      <c r="BD19" s="70"/>
      <c r="BE19" s="90">
        <v>100000</v>
      </c>
      <c r="BF19" s="53"/>
      <c r="BG19" s="53"/>
      <c r="BH19" s="53"/>
      <c r="BI19" s="3">
        <f t="shared" si="9"/>
        <v>0</v>
      </c>
      <c r="BJ19" s="70"/>
      <c r="BK19" s="90">
        <v>100000</v>
      </c>
      <c r="BL19" s="53"/>
      <c r="BM19" s="53"/>
      <c r="BN19" s="53"/>
      <c r="BO19" s="3">
        <f t="shared" si="10"/>
        <v>0</v>
      </c>
      <c r="BP19" s="70"/>
      <c r="BQ19" s="90">
        <v>100000</v>
      </c>
      <c r="BR19" s="53"/>
      <c r="BS19" s="53"/>
      <c r="BT19" s="53"/>
      <c r="BU19" s="3">
        <f t="shared" si="11"/>
        <v>0</v>
      </c>
      <c r="BV19" s="70"/>
      <c r="BW19" s="90">
        <v>100000</v>
      </c>
      <c r="BX19" s="53"/>
      <c r="BY19" s="53"/>
      <c r="BZ19" s="53"/>
      <c r="CA19" s="3">
        <f t="shared" si="12"/>
        <v>0</v>
      </c>
      <c r="CB19" s="107"/>
      <c r="CC19" s="90">
        <v>100000</v>
      </c>
      <c r="CD19" s="53"/>
      <c r="CE19" s="53"/>
      <c r="CF19" s="53"/>
      <c r="CG19" s="3">
        <f t="shared" si="13"/>
        <v>0</v>
      </c>
      <c r="CH19" s="107"/>
      <c r="CI19" s="102">
        <v>100000</v>
      </c>
      <c r="CJ19" s="53"/>
      <c r="CK19" s="53"/>
      <c r="CL19" s="53"/>
      <c r="CM19" s="3">
        <f t="shared" si="14"/>
        <v>0</v>
      </c>
      <c r="CN19" s="52"/>
    </row>
    <row r="20" spans="1:92" s="63" customFormat="1" ht="23.25" customHeight="1" x14ac:dyDescent="0.35">
      <c r="A20" s="22">
        <v>3</v>
      </c>
      <c r="B20" s="41" t="s">
        <v>99</v>
      </c>
      <c r="C20" s="91"/>
      <c r="D20" s="76">
        <f>SUM(D21:D29)</f>
        <v>125.66666666666667</v>
      </c>
      <c r="E20" s="43">
        <f>SUM(E21:E29)</f>
        <v>0</v>
      </c>
      <c r="F20" s="43">
        <f>SUM(F21:F29)</f>
        <v>0</v>
      </c>
      <c r="G20" s="23">
        <f>SUM(G21:G27)</f>
        <v>1162666.6666666667</v>
      </c>
      <c r="H20" s="24"/>
      <c r="I20" s="91"/>
      <c r="J20" s="76">
        <f>SUM(J21:J29)</f>
        <v>138</v>
      </c>
      <c r="K20" s="43">
        <f>SUM(K21:K29)</f>
        <v>0</v>
      </c>
      <c r="L20" s="43">
        <f>SUM(L21:L29)</f>
        <v>0</v>
      </c>
      <c r="M20" s="23">
        <f>SUM(M21:M27)</f>
        <v>1002000</v>
      </c>
      <c r="N20" s="24"/>
      <c r="O20" s="91"/>
      <c r="P20" s="76"/>
      <c r="Q20" s="43">
        <f>SUM(Q21:Q29)</f>
        <v>0</v>
      </c>
      <c r="R20" s="43">
        <f>SUM(R21:R29)</f>
        <v>0</v>
      </c>
      <c r="S20" s="23">
        <f>SUM(S21:S27)</f>
        <v>980000</v>
      </c>
      <c r="T20" s="24"/>
      <c r="U20" s="91"/>
      <c r="V20" s="76"/>
      <c r="W20" s="43">
        <f>SUM(W21:W29)</f>
        <v>0</v>
      </c>
      <c r="X20" s="43">
        <f>SUM(X21:X29)</f>
        <v>0</v>
      </c>
      <c r="Y20" s="23">
        <f>SUM(Y21:Y27)</f>
        <v>1732000</v>
      </c>
      <c r="Z20" s="24"/>
      <c r="AA20" s="91"/>
      <c r="AB20" s="76">
        <f>SUM(AB21:AB29)</f>
        <v>0</v>
      </c>
      <c r="AC20" s="43">
        <f>SUM(AC21:AC29)</f>
        <v>0</v>
      </c>
      <c r="AD20" s="43">
        <f>SUM(AD21:AD29)</f>
        <v>0</v>
      </c>
      <c r="AE20" s="23">
        <f>SUM(AE21:AE27)</f>
        <v>0</v>
      </c>
      <c r="AF20" s="24"/>
      <c r="AG20" s="91"/>
      <c r="AH20" s="76"/>
      <c r="AI20" s="43">
        <f>SUM(AI21:AI29)</f>
        <v>0</v>
      </c>
      <c r="AJ20" s="43">
        <f>SUM(AJ21:AJ29)</f>
        <v>0</v>
      </c>
      <c r="AK20" s="23">
        <f>SUM(AK21:AK27)</f>
        <v>360000</v>
      </c>
      <c r="AL20" s="24"/>
      <c r="AM20" s="91"/>
      <c r="AN20" s="76"/>
      <c r="AO20" s="43">
        <f>SUM(AO21:AO29)</f>
        <v>0</v>
      </c>
      <c r="AP20" s="43">
        <f>SUM(AP21:AP29)</f>
        <v>0</v>
      </c>
      <c r="AQ20" s="23">
        <f>SUM(AQ21:AQ27)</f>
        <v>1905333.1</v>
      </c>
      <c r="AR20" s="24"/>
      <c r="AS20" s="91"/>
      <c r="AT20" s="76"/>
      <c r="AU20" s="43">
        <f>SUM(AU21:AU29)</f>
        <v>0</v>
      </c>
      <c r="AV20" s="43">
        <f>SUM(AV21:AV29)</f>
        <v>0</v>
      </c>
      <c r="AW20" s="23">
        <f>SUM(AW21:AW27)</f>
        <v>816000</v>
      </c>
      <c r="AX20" s="24"/>
      <c r="AY20" s="91"/>
      <c r="AZ20" s="76">
        <f>SUM(AZ21:AZ29)</f>
        <v>135</v>
      </c>
      <c r="BA20" s="43">
        <f>SUM(BA21:BA29)</f>
        <v>0</v>
      </c>
      <c r="BB20" s="43">
        <f>SUM(BB21:BB29)</f>
        <v>0</v>
      </c>
      <c r="BC20" s="23">
        <f>SUM(BC21:BC27)</f>
        <v>612000</v>
      </c>
      <c r="BD20" s="24"/>
      <c r="BE20" s="91"/>
      <c r="BF20" s="76">
        <f>SUM(BF21:BF29)</f>
        <v>1</v>
      </c>
      <c r="BG20" s="43">
        <f>SUM(BG21:BG29)</f>
        <v>0</v>
      </c>
      <c r="BH20" s="43">
        <f>SUM(BH21:BH29)</f>
        <v>0</v>
      </c>
      <c r="BI20" s="23">
        <f>SUM(BI21:BI26)</f>
        <v>200000</v>
      </c>
      <c r="BJ20" s="24"/>
      <c r="BK20" s="91"/>
      <c r="BL20" s="76">
        <f>SUM(BL21:BL29)</f>
        <v>39</v>
      </c>
      <c r="BM20" s="43">
        <f>SUM(BM21:BM29)</f>
        <v>0</v>
      </c>
      <c r="BN20" s="43">
        <f>SUM(BN21:BN29)</f>
        <v>0</v>
      </c>
      <c r="BO20" s="23">
        <f>SUM(BO21:BO27)</f>
        <v>372000</v>
      </c>
      <c r="BP20" s="24"/>
      <c r="BQ20" s="91"/>
      <c r="BR20" s="76">
        <f>SUM(BR21:BR29)</f>
        <v>32</v>
      </c>
      <c r="BS20" s="43">
        <f>SUM(BS21:BS29)</f>
        <v>0</v>
      </c>
      <c r="BT20" s="43">
        <f>SUM(BT21:BT29)</f>
        <v>0</v>
      </c>
      <c r="BU20" s="23">
        <f>SUM(BU21:BU27)</f>
        <v>310000</v>
      </c>
      <c r="BV20" s="24"/>
      <c r="BW20" s="91"/>
      <c r="BX20" s="76">
        <f>SUM(BX21:BX29)</f>
        <v>264</v>
      </c>
      <c r="BY20" s="43">
        <f>SUM(BY21:BY29)</f>
        <v>0</v>
      </c>
      <c r="BZ20" s="43">
        <f>SUM(BZ21:BZ29)</f>
        <v>0</v>
      </c>
      <c r="CA20" s="23">
        <f>SUM(CA21:CA27)</f>
        <v>1062000</v>
      </c>
      <c r="CB20" s="72"/>
      <c r="CC20" s="91"/>
      <c r="CD20" s="76">
        <f>SUM(CD21:CD29)</f>
        <v>0</v>
      </c>
      <c r="CE20" s="43">
        <f>SUM(CE21:CE29)</f>
        <v>0</v>
      </c>
      <c r="CF20" s="43">
        <f>SUM(CF21:CF29)</f>
        <v>0</v>
      </c>
      <c r="CG20" s="23">
        <f>SUM(CG21:CG27)</f>
        <v>0</v>
      </c>
      <c r="CH20" s="72"/>
      <c r="CI20" s="103"/>
      <c r="CJ20" s="76">
        <f>SUM(CJ21:CJ29)</f>
        <v>63</v>
      </c>
      <c r="CK20" s="43">
        <f>SUM(CK21:CK29)</f>
        <v>0</v>
      </c>
      <c r="CL20" s="43">
        <f>SUM(CL21:CL29)</f>
        <v>0</v>
      </c>
      <c r="CM20" s="23">
        <f>SUM(CM21:CM27)</f>
        <v>222000</v>
      </c>
      <c r="CN20" s="23"/>
    </row>
    <row r="21" spans="1:92" s="1" customFormat="1" ht="23.25" customHeight="1" x14ac:dyDescent="0.35">
      <c r="A21" s="25" t="s">
        <v>100</v>
      </c>
      <c r="B21" s="42" t="s">
        <v>101</v>
      </c>
      <c r="C21" s="90"/>
      <c r="D21" s="34"/>
      <c r="E21" s="34"/>
      <c r="F21" s="34"/>
      <c r="G21" s="3">
        <f t="shared" ref="G21:G27" si="15">C21*SUM(D21:F21)</f>
        <v>0</v>
      </c>
      <c r="H21" s="71"/>
      <c r="I21" s="90"/>
      <c r="J21" s="34"/>
      <c r="K21" s="34"/>
      <c r="L21" s="34"/>
      <c r="M21" s="3">
        <f t="shared" ref="M21:M27" si="16">I21*SUM(J21:L21)</f>
        <v>0</v>
      </c>
      <c r="N21" s="71"/>
      <c r="O21" s="90"/>
      <c r="P21" s="34"/>
      <c r="Q21" s="34"/>
      <c r="R21" s="34"/>
      <c r="S21" s="3">
        <f t="shared" ref="S21:S27" si="17">O21*SUM(P21:R21)</f>
        <v>0</v>
      </c>
      <c r="T21" s="71"/>
      <c r="U21" s="90"/>
      <c r="V21" s="34"/>
      <c r="W21" s="34"/>
      <c r="X21" s="34"/>
      <c r="Y21" s="3">
        <f t="shared" ref="Y21:Y27" si="18">U21*SUM(V21:X21)</f>
        <v>0</v>
      </c>
      <c r="Z21" s="71"/>
      <c r="AA21" s="90"/>
      <c r="AB21" s="34"/>
      <c r="AC21" s="34"/>
      <c r="AD21" s="34"/>
      <c r="AE21" s="3">
        <f>AA21*SUM(AB21:AD21)</f>
        <v>0</v>
      </c>
      <c r="AF21" s="71"/>
      <c r="AG21" s="90"/>
      <c r="AH21" s="34"/>
      <c r="AI21" s="34"/>
      <c r="AJ21" s="34"/>
      <c r="AK21" s="3">
        <f t="shared" ref="AK21:AK27" si="19">AG21*SUM(AH21:AJ21)</f>
        <v>0</v>
      </c>
      <c r="AL21" s="71"/>
      <c r="AM21" s="90"/>
      <c r="AN21" s="34"/>
      <c r="AO21" s="34"/>
      <c r="AP21" s="34"/>
      <c r="AQ21" s="3">
        <f t="shared" ref="AQ21:AQ27" si="20">AM21*SUM(AN21:AP21)</f>
        <v>0</v>
      </c>
      <c r="AR21" s="71"/>
      <c r="AS21" s="90"/>
      <c r="AT21" s="34"/>
      <c r="AU21" s="34"/>
      <c r="AV21" s="34"/>
      <c r="AW21" s="3">
        <f t="shared" ref="AW21:AW27" si="21">AS21*SUM(AT21:AV21)</f>
        <v>0</v>
      </c>
      <c r="AX21" s="71"/>
      <c r="AY21" s="90"/>
      <c r="AZ21" s="34"/>
      <c r="BA21" s="34"/>
      <c r="BB21" s="34"/>
      <c r="BC21" s="3">
        <f t="shared" ref="BC21:BC27" si="22">AY21*SUM(AZ21:BB21)</f>
        <v>0</v>
      </c>
      <c r="BD21" s="71"/>
      <c r="BE21" s="90"/>
      <c r="BF21" s="34"/>
      <c r="BG21" s="34"/>
      <c r="BH21" s="34"/>
      <c r="BI21" s="3">
        <f t="shared" ref="BI21:BI27" si="23">BE21*SUM(BF21:BH21)</f>
        <v>0</v>
      </c>
      <c r="BJ21" s="71"/>
      <c r="BK21" s="90"/>
      <c r="BL21" s="34"/>
      <c r="BM21" s="34"/>
      <c r="BN21" s="34"/>
      <c r="BO21" s="3">
        <f t="shared" ref="BO21:BO27" si="24">BK21*SUM(BL21:BN21)</f>
        <v>0</v>
      </c>
      <c r="BP21" s="71"/>
      <c r="BQ21" s="90"/>
      <c r="BR21" s="34"/>
      <c r="BS21" s="34"/>
      <c r="BT21" s="34"/>
      <c r="BU21" s="3">
        <f t="shared" ref="BU21:BU27" si="25">BQ21*SUM(BR21:BT21)</f>
        <v>0</v>
      </c>
      <c r="BV21" s="71"/>
      <c r="BW21" s="90"/>
      <c r="BX21" s="34"/>
      <c r="BY21" s="34"/>
      <c r="BZ21" s="34"/>
      <c r="CA21" s="3">
        <f t="shared" ref="CA21:CA27" si="26">BW21*SUM(BX21:BZ21)</f>
        <v>0</v>
      </c>
      <c r="CB21" s="108"/>
      <c r="CC21" s="90"/>
      <c r="CD21" s="34"/>
      <c r="CE21" s="34"/>
      <c r="CF21" s="34"/>
      <c r="CG21" s="3">
        <f t="shared" ref="CG21:CG27" si="27">CC21*SUM(CD21:CF21)</f>
        <v>0</v>
      </c>
      <c r="CH21" s="108"/>
      <c r="CI21" s="102"/>
      <c r="CJ21" s="34"/>
      <c r="CK21" s="34"/>
      <c r="CL21" s="34"/>
      <c r="CM21" s="3">
        <f t="shared" ref="CM21:CM27" si="28">CI21*SUM(CJ21:CL21)</f>
        <v>0</v>
      </c>
      <c r="CN21" s="54"/>
    </row>
    <row r="22" spans="1:92" s="15" customFormat="1" ht="23.25" customHeight="1" x14ac:dyDescent="0.35">
      <c r="A22" s="33" t="s">
        <v>102</v>
      </c>
      <c r="B22" s="47" t="s">
        <v>103</v>
      </c>
      <c r="C22" s="90">
        <v>200000</v>
      </c>
      <c r="D22" s="34">
        <v>1</v>
      </c>
      <c r="E22" s="34"/>
      <c r="F22" s="34"/>
      <c r="G22" s="3">
        <f t="shared" si="15"/>
        <v>200000</v>
      </c>
      <c r="H22" s="30"/>
      <c r="I22" s="90">
        <v>200000</v>
      </c>
      <c r="J22" s="34">
        <v>1</v>
      </c>
      <c r="K22" s="34"/>
      <c r="L22" s="34"/>
      <c r="M22" s="3">
        <f t="shared" si="16"/>
        <v>200000</v>
      </c>
      <c r="N22" s="30"/>
      <c r="O22" s="90">
        <v>200000</v>
      </c>
      <c r="P22" s="34">
        <v>1</v>
      </c>
      <c r="Q22" s="34"/>
      <c r="R22" s="34"/>
      <c r="S22" s="3">
        <f t="shared" si="17"/>
        <v>200000</v>
      </c>
      <c r="T22" s="30"/>
      <c r="U22" s="90">
        <v>200000</v>
      </c>
      <c r="V22" s="34">
        <v>1</v>
      </c>
      <c r="W22" s="34"/>
      <c r="X22" s="34"/>
      <c r="Y22" s="3">
        <f t="shared" si="18"/>
        <v>200000</v>
      </c>
      <c r="Z22" s="30"/>
      <c r="AA22" s="90">
        <v>200000</v>
      </c>
      <c r="AB22" s="34"/>
      <c r="AC22" s="34"/>
      <c r="AD22" s="34"/>
      <c r="AE22" s="3">
        <f>AA22*SUM(AB22:AD22)</f>
        <v>0</v>
      </c>
      <c r="AF22" s="30"/>
      <c r="AG22" s="90">
        <v>200000</v>
      </c>
      <c r="AH22" s="34"/>
      <c r="AI22" s="34"/>
      <c r="AJ22" s="34"/>
      <c r="AK22" s="3">
        <f t="shared" si="19"/>
        <v>0</v>
      </c>
      <c r="AL22" s="30"/>
      <c r="AM22" s="90">
        <v>200000</v>
      </c>
      <c r="AN22" s="34">
        <v>1</v>
      </c>
      <c r="AO22" s="34"/>
      <c r="AP22" s="34"/>
      <c r="AQ22" s="3">
        <f t="shared" si="20"/>
        <v>200000</v>
      </c>
      <c r="AR22" s="30"/>
      <c r="AS22" s="90">
        <v>200000</v>
      </c>
      <c r="AT22" s="34">
        <v>1</v>
      </c>
      <c r="AU22" s="34"/>
      <c r="AV22" s="34"/>
      <c r="AW22" s="3">
        <f t="shared" si="21"/>
        <v>200000</v>
      </c>
      <c r="AX22" s="30"/>
      <c r="AY22" s="90">
        <v>200000</v>
      </c>
      <c r="AZ22" s="34">
        <v>1</v>
      </c>
      <c r="BA22" s="34"/>
      <c r="BB22" s="34"/>
      <c r="BC22" s="3">
        <f t="shared" si="22"/>
        <v>200000</v>
      </c>
      <c r="BD22" s="30"/>
      <c r="BE22" s="90">
        <v>200000</v>
      </c>
      <c r="BF22" s="34">
        <v>1</v>
      </c>
      <c r="BG22" s="34"/>
      <c r="BH22" s="34"/>
      <c r="BI22" s="3">
        <f t="shared" si="23"/>
        <v>200000</v>
      </c>
      <c r="BJ22" s="30"/>
      <c r="BK22" s="90">
        <v>200000</v>
      </c>
      <c r="BL22" s="34">
        <v>1</v>
      </c>
      <c r="BM22" s="34"/>
      <c r="BN22" s="34"/>
      <c r="BO22" s="3">
        <f t="shared" si="24"/>
        <v>200000</v>
      </c>
      <c r="BP22" s="30"/>
      <c r="BQ22" s="90">
        <v>200000</v>
      </c>
      <c r="BR22" s="34">
        <v>1</v>
      </c>
      <c r="BS22" s="34"/>
      <c r="BT22" s="34"/>
      <c r="BU22" s="3">
        <f t="shared" si="25"/>
        <v>200000</v>
      </c>
      <c r="BV22" s="30"/>
      <c r="BW22" s="90">
        <v>200000</v>
      </c>
      <c r="BX22" s="34">
        <v>1</v>
      </c>
      <c r="BY22" s="34"/>
      <c r="BZ22" s="34"/>
      <c r="CA22" s="3">
        <f t="shared" si="26"/>
        <v>200000</v>
      </c>
      <c r="CB22" s="106"/>
      <c r="CC22" s="90">
        <v>200000</v>
      </c>
      <c r="CD22" s="34"/>
      <c r="CE22" s="34"/>
      <c r="CF22" s="34"/>
      <c r="CG22" s="3">
        <f t="shared" si="27"/>
        <v>0</v>
      </c>
      <c r="CH22" s="106"/>
      <c r="CI22" s="102">
        <v>200000</v>
      </c>
      <c r="CJ22" s="34"/>
      <c r="CK22" s="34"/>
      <c r="CL22" s="34"/>
      <c r="CM22" s="3">
        <f t="shared" si="28"/>
        <v>0</v>
      </c>
      <c r="CN22" s="3"/>
    </row>
    <row r="23" spans="1:92" s="15" customFormat="1" ht="23.25" customHeight="1" x14ac:dyDescent="0.35">
      <c r="A23" s="25" t="s">
        <v>105</v>
      </c>
      <c r="B23" s="47" t="s">
        <v>106</v>
      </c>
      <c r="C23" s="90">
        <f>70%*100000</f>
        <v>70000</v>
      </c>
      <c r="D23" s="34">
        <v>7.666666666666667</v>
      </c>
      <c r="E23" s="34"/>
      <c r="F23" s="34"/>
      <c r="G23" s="3">
        <f t="shared" si="15"/>
        <v>536666.66666666674</v>
      </c>
      <c r="H23" s="30"/>
      <c r="I23" s="90">
        <f>70%*100000</f>
        <v>70000</v>
      </c>
      <c r="J23" s="34"/>
      <c r="K23" s="34"/>
      <c r="L23" s="34"/>
      <c r="M23" s="3">
        <f t="shared" si="16"/>
        <v>0</v>
      </c>
      <c r="N23" s="30"/>
      <c r="O23" s="90">
        <f>70%*100000</f>
        <v>70000</v>
      </c>
      <c r="P23" s="34"/>
      <c r="Q23" s="34"/>
      <c r="R23" s="34"/>
      <c r="S23" s="3">
        <f t="shared" si="17"/>
        <v>0</v>
      </c>
      <c r="T23" s="30"/>
      <c r="U23" s="90">
        <f>70%*100000</f>
        <v>70000</v>
      </c>
      <c r="V23" s="34">
        <v>11</v>
      </c>
      <c r="W23" s="34"/>
      <c r="X23" s="34"/>
      <c r="Y23" s="3">
        <f t="shared" si="18"/>
        <v>770000</v>
      </c>
      <c r="Z23" s="30"/>
      <c r="AA23" s="90">
        <f>70%*100000</f>
        <v>70000</v>
      </c>
      <c r="AB23" s="34"/>
      <c r="AC23" s="34"/>
      <c r="AD23" s="34"/>
      <c r="AE23" s="3">
        <f>AB23*AC23</f>
        <v>0</v>
      </c>
      <c r="AF23" s="30"/>
      <c r="AG23" s="90">
        <f>70%*100000</f>
        <v>70000</v>
      </c>
      <c r="AH23" s="34"/>
      <c r="AI23" s="34"/>
      <c r="AJ23" s="34"/>
      <c r="AK23" s="3">
        <f t="shared" si="19"/>
        <v>0</v>
      </c>
      <c r="AL23" s="30"/>
      <c r="AM23" s="90">
        <f>70%*100000</f>
        <v>70000</v>
      </c>
      <c r="AN23" s="34">
        <v>17.33333</v>
      </c>
      <c r="AO23" s="34"/>
      <c r="AP23" s="34"/>
      <c r="AQ23" s="3">
        <f t="shared" si="20"/>
        <v>1213333.1000000001</v>
      </c>
      <c r="AR23" s="30"/>
      <c r="AS23" s="90">
        <f>70%*100000</f>
        <v>70000</v>
      </c>
      <c r="AT23" s="34"/>
      <c r="AU23" s="34"/>
      <c r="AV23" s="34"/>
      <c r="AW23" s="3">
        <f t="shared" si="21"/>
        <v>0</v>
      </c>
      <c r="AX23" s="30"/>
      <c r="AY23" s="90">
        <f>70%*100000</f>
        <v>70000</v>
      </c>
      <c r="AZ23" s="34"/>
      <c r="BA23" s="34"/>
      <c r="BB23" s="34"/>
      <c r="BC23" s="3">
        <f t="shared" si="22"/>
        <v>0</v>
      </c>
      <c r="BD23" s="30"/>
      <c r="BE23" s="90">
        <f>70%*100000</f>
        <v>70000</v>
      </c>
      <c r="BF23" s="34"/>
      <c r="BG23" s="34"/>
      <c r="BH23" s="34"/>
      <c r="BI23" s="3">
        <f t="shared" si="23"/>
        <v>0</v>
      </c>
      <c r="BJ23" s="30"/>
      <c r="BK23" s="90">
        <f>70%*100000</f>
        <v>70000</v>
      </c>
      <c r="BL23" s="34"/>
      <c r="BM23" s="34"/>
      <c r="BN23" s="34"/>
      <c r="BO23" s="3">
        <f t="shared" si="24"/>
        <v>0</v>
      </c>
      <c r="BP23" s="30"/>
      <c r="BQ23" s="90">
        <f>70%*100000</f>
        <v>70000</v>
      </c>
      <c r="BR23" s="34"/>
      <c r="BS23" s="34"/>
      <c r="BT23" s="34"/>
      <c r="BU23" s="3">
        <f t="shared" si="25"/>
        <v>0</v>
      </c>
      <c r="BV23" s="30"/>
      <c r="BW23" s="90">
        <f>70%*100000</f>
        <v>70000</v>
      </c>
      <c r="BX23" s="34"/>
      <c r="BY23" s="34"/>
      <c r="BZ23" s="34"/>
      <c r="CA23" s="3">
        <f t="shared" si="26"/>
        <v>0</v>
      </c>
      <c r="CB23" s="106"/>
      <c r="CC23" s="90">
        <f>70%*100000</f>
        <v>70000</v>
      </c>
      <c r="CD23" s="34"/>
      <c r="CE23" s="34"/>
      <c r="CF23" s="34"/>
      <c r="CG23" s="3">
        <f t="shared" si="27"/>
        <v>0</v>
      </c>
      <c r="CH23" s="106"/>
      <c r="CI23" s="102">
        <f>70%*100000</f>
        <v>70000</v>
      </c>
      <c r="CJ23" s="34"/>
      <c r="CK23" s="34"/>
      <c r="CL23" s="34"/>
      <c r="CM23" s="3">
        <f t="shared" si="28"/>
        <v>0</v>
      </c>
      <c r="CN23" s="3"/>
    </row>
    <row r="24" spans="1:92" s="1" customFormat="1" ht="23.25" customHeight="1" x14ac:dyDescent="0.35">
      <c r="A24" s="33" t="s">
        <v>107</v>
      </c>
      <c r="B24" s="47" t="s">
        <v>108</v>
      </c>
      <c r="C24" s="90">
        <v>5000</v>
      </c>
      <c r="D24" s="50"/>
      <c r="E24" s="50"/>
      <c r="F24" s="50"/>
      <c r="G24" s="3">
        <f t="shared" si="15"/>
        <v>0</v>
      </c>
      <c r="H24" s="30"/>
      <c r="I24" s="90">
        <v>5000</v>
      </c>
      <c r="J24" s="50"/>
      <c r="K24" s="50"/>
      <c r="L24" s="50"/>
      <c r="M24" s="3">
        <f t="shared" si="16"/>
        <v>0</v>
      </c>
      <c r="N24" s="30"/>
      <c r="O24" s="90">
        <v>5000</v>
      </c>
      <c r="P24" s="50"/>
      <c r="Q24" s="50"/>
      <c r="R24" s="50"/>
      <c r="S24" s="3">
        <f t="shared" si="17"/>
        <v>0</v>
      </c>
      <c r="T24" s="30"/>
      <c r="U24" s="90">
        <v>5000</v>
      </c>
      <c r="V24" s="50"/>
      <c r="W24" s="50"/>
      <c r="X24" s="50"/>
      <c r="Y24" s="3">
        <f t="shared" si="18"/>
        <v>0</v>
      </c>
      <c r="Z24" s="30"/>
      <c r="AA24" s="90">
        <v>5000</v>
      </c>
      <c r="AB24" s="50"/>
      <c r="AC24" s="50"/>
      <c r="AD24" s="50"/>
      <c r="AE24" s="3">
        <f>AB24*AC24</f>
        <v>0</v>
      </c>
      <c r="AF24" s="30"/>
      <c r="AG24" s="90">
        <v>5000</v>
      </c>
      <c r="AH24" s="34"/>
      <c r="AI24" s="50"/>
      <c r="AJ24" s="50"/>
      <c r="AK24" s="3">
        <f t="shared" si="19"/>
        <v>0</v>
      </c>
      <c r="AL24" s="30"/>
      <c r="AM24" s="90">
        <v>5000</v>
      </c>
      <c r="AN24" s="50"/>
      <c r="AO24" s="50"/>
      <c r="AP24" s="50"/>
      <c r="AQ24" s="3">
        <f t="shared" si="20"/>
        <v>0</v>
      </c>
      <c r="AR24" s="30"/>
      <c r="AS24" s="90">
        <v>5000</v>
      </c>
      <c r="AT24" s="50"/>
      <c r="AU24" s="50"/>
      <c r="AV24" s="50"/>
      <c r="AW24" s="3">
        <f t="shared" si="21"/>
        <v>0</v>
      </c>
      <c r="AX24" s="30"/>
      <c r="AY24" s="90">
        <v>5000</v>
      </c>
      <c r="AZ24" s="50"/>
      <c r="BA24" s="50"/>
      <c r="BB24" s="50"/>
      <c r="BC24" s="3">
        <f t="shared" si="22"/>
        <v>0</v>
      </c>
      <c r="BD24" s="30"/>
      <c r="BE24" s="90">
        <v>5000</v>
      </c>
      <c r="BF24" s="50"/>
      <c r="BG24" s="50"/>
      <c r="BH24" s="50"/>
      <c r="BI24" s="3">
        <f t="shared" si="23"/>
        <v>0</v>
      </c>
      <c r="BJ24" s="30"/>
      <c r="BK24" s="90">
        <v>5000</v>
      </c>
      <c r="BL24" s="50"/>
      <c r="BM24" s="50"/>
      <c r="BN24" s="50"/>
      <c r="BO24" s="3">
        <f t="shared" si="24"/>
        <v>0</v>
      </c>
      <c r="BP24" s="30"/>
      <c r="BQ24" s="90">
        <v>5000</v>
      </c>
      <c r="BR24" s="50"/>
      <c r="BS24" s="50"/>
      <c r="BT24" s="50"/>
      <c r="BU24" s="3">
        <f t="shared" si="25"/>
        <v>0</v>
      </c>
      <c r="BV24" s="30"/>
      <c r="BW24" s="90">
        <v>5000</v>
      </c>
      <c r="BX24" s="50"/>
      <c r="BY24" s="50"/>
      <c r="BZ24" s="50"/>
      <c r="CA24" s="3">
        <f t="shared" si="26"/>
        <v>0</v>
      </c>
      <c r="CB24" s="106"/>
      <c r="CC24" s="90">
        <v>5000</v>
      </c>
      <c r="CD24" s="50"/>
      <c r="CE24" s="50"/>
      <c r="CF24" s="50"/>
      <c r="CG24" s="3">
        <f t="shared" si="27"/>
        <v>0</v>
      </c>
      <c r="CH24" s="106"/>
      <c r="CI24" s="102">
        <v>5000</v>
      </c>
      <c r="CJ24" s="50"/>
      <c r="CK24" s="50"/>
      <c r="CL24" s="50"/>
      <c r="CM24" s="3">
        <f t="shared" si="28"/>
        <v>0</v>
      </c>
      <c r="CN24" s="3"/>
    </row>
    <row r="25" spans="1:92" s="15" customFormat="1" ht="23.25" customHeight="1" x14ac:dyDescent="0.35">
      <c r="A25" s="25" t="s">
        <v>109</v>
      </c>
      <c r="B25" s="47" t="s">
        <v>110</v>
      </c>
      <c r="C25" s="90">
        <v>2000</v>
      </c>
      <c r="D25" s="34">
        <v>113</v>
      </c>
      <c r="E25" s="34"/>
      <c r="F25" s="34"/>
      <c r="G25" s="3">
        <f t="shared" si="15"/>
        <v>226000</v>
      </c>
      <c r="H25" s="30"/>
      <c r="I25" s="90">
        <v>2000</v>
      </c>
      <c r="J25" s="34">
        <v>126</v>
      </c>
      <c r="K25" s="34"/>
      <c r="L25" s="34"/>
      <c r="M25" s="3">
        <f t="shared" si="16"/>
        <v>252000</v>
      </c>
      <c r="N25" s="30"/>
      <c r="O25" s="90">
        <v>2000</v>
      </c>
      <c r="P25" s="34">
        <v>190</v>
      </c>
      <c r="Q25" s="34"/>
      <c r="R25" s="34"/>
      <c r="S25" s="3">
        <f t="shared" si="17"/>
        <v>380000</v>
      </c>
      <c r="T25" s="30"/>
      <c r="U25" s="90">
        <v>2000</v>
      </c>
      <c r="V25" s="34">
        <v>156</v>
      </c>
      <c r="W25" s="34"/>
      <c r="X25" s="34"/>
      <c r="Y25" s="3">
        <f t="shared" si="18"/>
        <v>312000</v>
      </c>
      <c r="Z25" s="30"/>
      <c r="AA25" s="90">
        <v>2000</v>
      </c>
      <c r="AB25" s="34"/>
      <c r="AC25" s="34"/>
      <c r="AD25" s="34"/>
      <c r="AE25" s="3">
        <f>AB25*AC25</f>
        <v>0</v>
      </c>
      <c r="AF25" s="30"/>
      <c r="AG25" s="90">
        <v>2000</v>
      </c>
      <c r="AH25" s="34">
        <v>80</v>
      </c>
      <c r="AI25" s="34"/>
      <c r="AJ25" s="34"/>
      <c r="AK25" s="3">
        <f t="shared" si="19"/>
        <v>160000</v>
      </c>
      <c r="AL25" s="30"/>
      <c r="AM25" s="90">
        <v>2000</v>
      </c>
      <c r="AN25" s="34">
        <v>121</v>
      </c>
      <c r="AO25" s="34"/>
      <c r="AP25" s="34"/>
      <c r="AQ25" s="3">
        <f t="shared" si="20"/>
        <v>242000</v>
      </c>
      <c r="AR25" s="30"/>
      <c r="AS25" s="90">
        <v>2000</v>
      </c>
      <c r="AT25" s="34">
        <v>133</v>
      </c>
      <c r="AU25" s="34"/>
      <c r="AV25" s="34"/>
      <c r="AW25" s="3">
        <f t="shared" si="21"/>
        <v>266000</v>
      </c>
      <c r="AX25" s="30"/>
      <c r="AY25" s="90">
        <v>2000</v>
      </c>
      <c r="AZ25" s="34">
        <v>131</v>
      </c>
      <c r="BA25" s="34"/>
      <c r="BB25" s="34"/>
      <c r="BC25" s="3">
        <f t="shared" si="22"/>
        <v>262000</v>
      </c>
      <c r="BD25" s="30"/>
      <c r="BE25" s="90">
        <v>2000</v>
      </c>
      <c r="BF25" s="34"/>
      <c r="BG25" s="34"/>
      <c r="BH25" s="34"/>
      <c r="BI25" s="3">
        <f t="shared" si="23"/>
        <v>0</v>
      </c>
      <c r="BJ25" s="30"/>
      <c r="BK25" s="90">
        <v>2000</v>
      </c>
      <c r="BL25" s="34">
        <v>36</v>
      </c>
      <c r="BM25" s="34"/>
      <c r="BN25" s="34"/>
      <c r="BO25" s="3">
        <f t="shared" si="24"/>
        <v>72000</v>
      </c>
      <c r="BP25" s="30"/>
      <c r="BQ25" s="90">
        <v>2000</v>
      </c>
      <c r="BR25" s="34">
        <v>30</v>
      </c>
      <c r="BS25" s="34"/>
      <c r="BT25" s="34"/>
      <c r="BU25" s="3">
        <f t="shared" si="25"/>
        <v>60000</v>
      </c>
      <c r="BV25" s="30"/>
      <c r="BW25" s="90">
        <v>2000</v>
      </c>
      <c r="BX25" s="34">
        <v>256</v>
      </c>
      <c r="BY25" s="34"/>
      <c r="BZ25" s="34"/>
      <c r="CA25" s="3">
        <f t="shared" si="26"/>
        <v>512000</v>
      </c>
      <c r="CB25" s="106"/>
      <c r="CC25" s="90">
        <v>2000</v>
      </c>
      <c r="CD25" s="34"/>
      <c r="CE25" s="34"/>
      <c r="CF25" s="34"/>
      <c r="CG25" s="3">
        <f t="shared" si="27"/>
        <v>0</v>
      </c>
      <c r="CH25" s="106"/>
      <c r="CI25" s="102">
        <v>2000</v>
      </c>
      <c r="CJ25" s="34">
        <v>61</v>
      </c>
      <c r="CK25" s="34"/>
      <c r="CL25" s="34"/>
      <c r="CM25" s="3">
        <f t="shared" si="28"/>
        <v>122000</v>
      </c>
      <c r="CN25" s="3"/>
    </row>
    <row r="26" spans="1:92" s="15" customFormat="1" ht="23.25" customHeight="1" x14ac:dyDescent="0.35">
      <c r="A26" s="33" t="s">
        <v>111</v>
      </c>
      <c r="B26" s="47" t="s">
        <v>112</v>
      </c>
      <c r="C26" s="90">
        <v>50000</v>
      </c>
      <c r="D26" s="34">
        <v>4</v>
      </c>
      <c r="E26" s="34"/>
      <c r="F26" s="34"/>
      <c r="G26" s="3">
        <f t="shared" si="15"/>
        <v>200000</v>
      </c>
      <c r="H26" s="30"/>
      <c r="I26" s="90">
        <v>50000</v>
      </c>
      <c r="J26" s="34">
        <v>11</v>
      </c>
      <c r="K26" s="34"/>
      <c r="L26" s="34"/>
      <c r="M26" s="3">
        <f t="shared" si="16"/>
        <v>550000</v>
      </c>
      <c r="N26" s="30"/>
      <c r="O26" s="90">
        <v>50000</v>
      </c>
      <c r="P26" s="34">
        <v>8</v>
      </c>
      <c r="Q26" s="34"/>
      <c r="R26" s="34"/>
      <c r="S26" s="3">
        <f t="shared" si="17"/>
        <v>400000</v>
      </c>
      <c r="T26" s="30"/>
      <c r="U26" s="90">
        <v>50000</v>
      </c>
      <c r="V26" s="34">
        <v>9</v>
      </c>
      <c r="W26" s="34"/>
      <c r="X26" s="34"/>
      <c r="Y26" s="3">
        <f t="shared" si="18"/>
        <v>450000</v>
      </c>
      <c r="Z26" s="30"/>
      <c r="AA26" s="90">
        <v>50000</v>
      </c>
      <c r="AB26" s="34"/>
      <c r="AC26" s="34"/>
      <c r="AD26" s="34"/>
      <c r="AE26" s="3">
        <f>AB26*AC26</f>
        <v>0</v>
      </c>
      <c r="AF26" s="30"/>
      <c r="AG26" s="90">
        <v>50000</v>
      </c>
      <c r="AH26" s="34">
        <v>4</v>
      </c>
      <c r="AI26" s="34"/>
      <c r="AJ26" s="34"/>
      <c r="AK26" s="3">
        <f t="shared" si="19"/>
        <v>200000</v>
      </c>
      <c r="AL26" s="30"/>
      <c r="AM26" s="90">
        <v>50000</v>
      </c>
      <c r="AN26" s="34">
        <v>5</v>
      </c>
      <c r="AO26" s="34"/>
      <c r="AP26" s="34"/>
      <c r="AQ26" s="3">
        <f t="shared" si="20"/>
        <v>250000</v>
      </c>
      <c r="AR26" s="30"/>
      <c r="AS26" s="90">
        <v>50000</v>
      </c>
      <c r="AT26" s="34">
        <v>7</v>
      </c>
      <c r="AU26" s="34"/>
      <c r="AV26" s="34"/>
      <c r="AW26" s="3">
        <f t="shared" si="21"/>
        <v>350000</v>
      </c>
      <c r="AX26" s="30"/>
      <c r="AY26" s="90">
        <v>50000</v>
      </c>
      <c r="AZ26" s="34">
        <v>3</v>
      </c>
      <c r="BA26" s="34"/>
      <c r="BB26" s="34"/>
      <c r="BC26" s="3">
        <f t="shared" si="22"/>
        <v>150000</v>
      </c>
      <c r="BD26" s="30"/>
      <c r="BE26" s="90">
        <v>50000</v>
      </c>
      <c r="BF26" s="34"/>
      <c r="BG26" s="34"/>
      <c r="BH26" s="34"/>
      <c r="BI26" s="3">
        <f t="shared" si="23"/>
        <v>0</v>
      </c>
      <c r="BJ26" s="30"/>
      <c r="BK26" s="90">
        <v>50000</v>
      </c>
      <c r="BL26" s="34">
        <v>2</v>
      </c>
      <c r="BM26" s="34"/>
      <c r="BN26" s="34"/>
      <c r="BO26" s="3">
        <f t="shared" si="24"/>
        <v>100000</v>
      </c>
      <c r="BP26" s="30"/>
      <c r="BQ26" s="90">
        <v>50000</v>
      </c>
      <c r="BR26" s="34">
        <v>1</v>
      </c>
      <c r="BS26" s="34"/>
      <c r="BT26" s="34"/>
      <c r="BU26" s="3">
        <f t="shared" si="25"/>
        <v>50000</v>
      </c>
      <c r="BV26" s="30"/>
      <c r="BW26" s="90">
        <v>50000</v>
      </c>
      <c r="BX26" s="34">
        <v>7</v>
      </c>
      <c r="BY26" s="34"/>
      <c r="BZ26" s="34"/>
      <c r="CA26" s="3">
        <f t="shared" si="26"/>
        <v>350000</v>
      </c>
      <c r="CB26" s="106"/>
      <c r="CC26" s="90">
        <v>50000</v>
      </c>
      <c r="CD26" s="34"/>
      <c r="CE26" s="34"/>
      <c r="CF26" s="34"/>
      <c r="CG26" s="3">
        <f t="shared" si="27"/>
        <v>0</v>
      </c>
      <c r="CH26" s="106"/>
      <c r="CI26" s="102">
        <v>50000</v>
      </c>
      <c r="CJ26" s="34">
        <v>2</v>
      </c>
      <c r="CK26" s="34"/>
      <c r="CL26" s="34"/>
      <c r="CM26" s="3">
        <f t="shared" si="28"/>
        <v>100000</v>
      </c>
      <c r="CN26" s="3"/>
    </row>
    <row r="27" spans="1:92" s="15" customFormat="1" ht="23.25" customHeight="1" x14ac:dyDescent="0.35">
      <c r="A27" s="25" t="s">
        <v>113</v>
      </c>
      <c r="B27" s="47" t="s">
        <v>114</v>
      </c>
      <c r="C27" s="90"/>
      <c r="D27" s="34"/>
      <c r="E27" s="34"/>
      <c r="F27" s="34"/>
      <c r="G27" s="3">
        <f t="shared" si="15"/>
        <v>0</v>
      </c>
      <c r="H27" s="30"/>
      <c r="I27" s="90"/>
      <c r="J27" s="34"/>
      <c r="K27" s="34"/>
      <c r="L27" s="34"/>
      <c r="M27" s="3">
        <f t="shared" si="16"/>
        <v>0</v>
      </c>
      <c r="N27" s="30"/>
      <c r="O27" s="90"/>
      <c r="P27" s="34"/>
      <c r="Q27" s="34"/>
      <c r="R27" s="34"/>
      <c r="S27" s="3">
        <f t="shared" si="17"/>
        <v>0</v>
      </c>
      <c r="T27" s="30"/>
      <c r="U27" s="90"/>
      <c r="V27" s="34"/>
      <c r="W27" s="34"/>
      <c r="X27" s="34"/>
      <c r="Y27" s="3">
        <f t="shared" si="18"/>
        <v>0</v>
      </c>
      <c r="Z27" s="30"/>
      <c r="AA27" s="90"/>
      <c r="AB27" s="34"/>
      <c r="AC27" s="34"/>
      <c r="AD27" s="34"/>
      <c r="AE27" s="3"/>
      <c r="AF27" s="30"/>
      <c r="AG27" s="90"/>
      <c r="AH27" s="34"/>
      <c r="AI27" s="34"/>
      <c r="AJ27" s="34"/>
      <c r="AK27" s="3">
        <f t="shared" si="19"/>
        <v>0</v>
      </c>
      <c r="AL27" s="30"/>
      <c r="AM27" s="90"/>
      <c r="AN27" s="34"/>
      <c r="AO27" s="34"/>
      <c r="AP27" s="34"/>
      <c r="AQ27" s="3">
        <f t="shared" si="20"/>
        <v>0</v>
      </c>
      <c r="AR27" s="30"/>
      <c r="AS27" s="90"/>
      <c r="AT27" s="34"/>
      <c r="AU27" s="34"/>
      <c r="AV27" s="34"/>
      <c r="AW27" s="3">
        <f t="shared" si="21"/>
        <v>0</v>
      </c>
      <c r="AX27" s="30"/>
      <c r="AY27" s="90"/>
      <c r="AZ27" s="34"/>
      <c r="BA27" s="34"/>
      <c r="BB27" s="34"/>
      <c r="BC27" s="3">
        <f t="shared" si="22"/>
        <v>0</v>
      </c>
      <c r="BD27" s="30"/>
      <c r="BE27" s="90"/>
      <c r="BF27" s="34"/>
      <c r="BG27" s="34"/>
      <c r="BH27" s="34"/>
      <c r="BI27" s="3">
        <f t="shared" si="23"/>
        <v>0</v>
      </c>
      <c r="BJ27" s="30"/>
      <c r="BK27" s="90"/>
      <c r="BL27" s="34"/>
      <c r="BM27" s="34"/>
      <c r="BN27" s="34"/>
      <c r="BO27" s="3">
        <f t="shared" si="24"/>
        <v>0</v>
      </c>
      <c r="BP27" s="30"/>
      <c r="BQ27" s="90"/>
      <c r="BR27" s="34"/>
      <c r="BS27" s="34"/>
      <c r="BT27" s="34"/>
      <c r="BU27" s="3">
        <f t="shared" si="25"/>
        <v>0</v>
      </c>
      <c r="BV27" s="30"/>
      <c r="BW27" s="90"/>
      <c r="BX27" s="34"/>
      <c r="BY27" s="34"/>
      <c r="BZ27" s="34"/>
      <c r="CA27" s="3">
        <f t="shared" si="26"/>
        <v>0</v>
      </c>
      <c r="CB27" s="106"/>
      <c r="CC27" s="90"/>
      <c r="CD27" s="34"/>
      <c r="CE27" s="34"/>
      <c r="CF27" s="34"/>
      <c r="CG27" s="3">
        <f t="shared" si="27"/>
        <v>0</v>
      </c>
      <c r="CH27" s="106"/>
      <c r="CI27" s="102"/>
      <c r="CJ27" s="34"/>
      <c r="CK27" s="34"/>
      <c r="CL27" s="34"/>
      <c r="CM27" s="3">
        <f t="shared" si="28"/>
        <v>0</v>
      </c>
      <c r="CN27" s="3"/>
    </row>
    <row r="28" spans="1:92" s="63" customFormat="1" ht="23.25" customHeight="1" x14ac:dyDescent="0.35">
      <c r="A28" s="22">
        <v>4</v>
      </c>
      <c r="B28" s="41" t="s">
        <v>116</v>
      </c>
      <c r="C28" s="91"/>
      <c r="D28" s="75"/>
      <c r="E28" s="75"/>
      <c r="F28" s="75"/>
      <c r="G28" s="23">
        <f>SUM(G29:G31)</f>
        <v>216266.66666666672</v>
      </c>
      <c r="H28" s="24">
        <f>D28+E28+F28</f>
        <v>0</v>
      </c>
      <c r="I28" s="91"/>
      <c r="J28" s="75"/>
      <c r="K28" s="75"/>
      <c r="L28" s="75"/>
      <c r="M28" s="23">
        <f>SUM(M29:M31)</f>
        <v>112200</v>
      </c>
      <c r="N28" s="24">
        <f>J28+K28+L28</f>
        <v>0</v>
      </c>
      <c r="O28" s="91"/>
      <c r="P28" s="75"/>
      <c r="Q28" s="75"/>
      <c r="R28" s="75"/>
      <c r="S28" s="23">
        <f>SUM(S29:S31)</f>
        <v>98000</v>
      </c>
      <c r="T28" s="24">
        <f>P28+Q28+R28</f>
        <v>0</v>
      </c>
      <c r="U28" s="91"/>
      <c r="V28" s="75"/>
      <c r="W28" s="75"/>
      <c r="X28" s="75"/>
      <c r="Y28" s="23">
        <f>SUM(Y29:Y31)</f>
        <v>0</v>
      </c>
      <c r="Z28" s="24">
        <f>V28+W28+X28</f>
        <v>0</v>
      </c>
      <c r="AA28" s="91"/>
      <c r="AB28" s="75"/>
      <c r="AC28" s="75"/>
      <c r="AD28" s="75"/>
      <c r="AE28" s="23">
        <f>SUM(AE29:AE31)</f>
        <v>0</v>
      </c>
      <c r="AF28" s="24">
        <f>AB28+AC28+AD28</f>
        <v>0</v>
      </c>
      <c r="AG28" s="91"/>
      <c r="AH28" s="75"/>
      <c r="AI28" s="75"/>
      <c r="AJ28" s="75"/>
      <c r="AK28" s="23">
        <f>SUM(AK29:AK31)</f>
        <v>36000</v>
      </c>
      <c r="AL28" s="24">
        <f>AH28+AI28+AJ28</f>
        <v>0</v>
      </c>
      <c r="AM28" s="91"/>
      <c r="AN28" s="75"/>
      <c r="AO28" s="75"/>
      <c r="AP28" s="75"/>
      <c r="AQ28" s="23">
        <f>SUM(AQ29:AQ31)</f>
        <v>0</v>
      </c>
      <c r="AR28" s="24">
        <f>AN28+AO28+AP28</f>
        <v>0</v>
      </c>
      <c r="AS28" s="91"/>
      <c r="AT28" s="75"/>
      <c r="AU28" s="75"/>
      <c r="AV28" s="75"/>
      <c r="AW28" s="23">
        <f>SUM(AW29:AW31)</f>
        <v>81600</v>
      </c>
      <c r="AX28" s="24">
        <f>AT28+AU28+AV28</f>
        <v>0</v>
      </c>
      <c r="AY28" s="91"/>
      <c r="AZ28" s="75"/>
      <c r="BA28" s="75"/>
      <c r="BB28" s="75"/>
      <c r="BC28" s="23">
        <f>SUM(BC29:BC31)</f>
        <v>0</v>
      </c>
      <c r="BD28" s="24">
        <f>AZ28+BA28+BB28</f>
        <v>0</v>
      </c>
      <c r="BE28" s="91"/>
      <c r="BF28" s="75"/>
      <c r="BG28" s="75"/>
      <c r="BH28" s="75"/>
      <c r="BI28" s="23">
        <f>SUM(BI29:BI31)</f>
        <v>0</v>
      </c>
      <c r="BJ28" s="24">
        <f>BF28+BG28+BH28</f>
        <v>0</v>
      </c>
      <c r="BK28" s="91"/>
      <c r="BL28" s="75"/>
      <c r="BM28" s="75"/>
      <c r="BN28" s="75"/>
      <c r="BO28" s="23">
        <f>SUM(BO29:BO31)</f>
        <v>0</v>
      </c>
      <c r="BP28" s="24">
        <f>BL28+BM28+BN28</f>
        <v>0</v>
      </c>
      <c r="BQ28" s="91"/>
      <c r="BR28" s="75"/>
      <c r="BS28" s="75"/>
      <c r="BT28" s="75"/>
      <c r="BU28" s="23">
        <f>SUM(BU29:BU31)</f>
        <v>0</v>
      </c>
      <c r="BV28" s="24">
        <f>BR28+BS28+BT28</f>
        <v>0</v>
      </c>
      <c r="BW28" s="91"/>
      <c r="BX28" s="75"/>
      <c r="BY28" s="75"/>
      <c r="BZ28" s="75"/>
      <c r="CA28" s="23">
        <f>SUM(CA29:CA31)</f>
        <v>0</v>
      </c>
      <c r="CB28" s="72">
        <f>BX28+BY28+BZ28</f>
        <v>0</v>
      </c>
      <c r="CC28" s="91"/>
      <c r="CD28" s="75"/>
      <c r="CE28" s="75"/>
      <c r="CF28" s="75"/>
      <c r="CG28" s="23">
        <f>SUM(CG29:CG31)</f>
        <v>0</v>
      </c>
      <c r="CH28" s="72">
        <f>CD28+CE28+CF28</f>
        <v>0</v>
      </c>
      <c r="CI28" s="103"/>
      <c r="CJ28" s="75"/>
      <c r="CK28" s="75"/>
      <c r="CL28" s="75"/>
      <c r="CM28" s="23">
        <f>SUM(CM29:CM31)</f>
        <v>22200</v>
      </c>
      <c r="CN28" s="23">
        <f>CJ28+CK28+CL28</f>
        <v>0</v>
      </c>
    </row>
    <row r="29" spans="1:92" s="15" customFormat="1" ht="23.25" customHeight="1" x14ac:dyDescent="0.35">
      <c r="A29" s="33" t="s">
        <v>117</v>
      </c>
      <c r="B29" s="42" t="s">
        <v>121</v>
      </c>
      <c r="C29" s="89"/>
      <c r="D29" s="34"/>
      <c r="E29" s="34"/>
      <c r="F29" s="34"/>
      <c r="G29" s="3"/>
      <c r="H29" s="30"/>
      <c r="I29" s="89"/>
      <c r="J29" s="34"/>
      <c r="K29" s="34"/>
      <c r="L29" s="34"/>
      <c r="M29" s="3"/>
      <c r="N29" s="30"/>
      <c r="O29" s="89"/>
      <c r="P29" s="34"/>
      <c r="Q29" s="34"/>
      <c r="R29" s="34"/>
      <c r="S29" s="3"/>
      <c r="T29" s="30"/>
      <c r="U29" s="89"/>
      <c r="V29" s="34"/>
      <c r="W29" s="34"/>
      <c r="X29" s="34"/>
      <c r="Y29" s="3"/>
      <c r="Z29" s="30"/>
      <c r="AA29" s="89"/>
      <c r="AB29" s="34"/>
      <c r="AC29" s="34"/>
      <c r="AD29" s="34"/>
      <c r="AE29" s="3"/>
      <c r="AF29" s="30"/>
      <c r="AG29" s="89"/>
      <c r="AH29" s="34"/>
      <c r="AI29" s="34"/>
      <c r="AJ29" s="34"/>
      <c r="AK29" s="3"/>
      <c r="AL29" s="30"/>
      <c r="AM29" s="89"/>
      <c r="AN29" s="34"/>
      <c r="AO29" s="34"/>
      <c r="AP29" s="34"/>
      <c r="AQ29" s="3"/>
      <c r="AR29" s="30"/>
      <c r="AS29" s="89"/>
      <c r="AT29" s="34"/>
      <c r="AU29" s="34"/>
      <c r="AV29" s="34"/>
      <c r="AW29" s="3"/>
      <c r="AX29" s="30"/>
      <c r="AY29" s="89"/>
      <c r="AZ29" s="34"/>
      <c r="BA29" s="34"/>
      <c r="BB29" s="34"/>
      <c r="BC29" s="3"/>
      <c r="BD29" s="30"/>
      <c r="BE29" s="89"/>
      <c r="BF29" s="34"/>
      <c r="BG29" s="34"/>
      <c r="BH29" s="34"/>
      <c r="BI29" s="3"/>
      <c r="BJ29" s="30"/>
      <c r="BK29" s="89"/>
      <c r="BL29" s="34"/>
      <c r="BM29" s="34"/>
      <c r="BN29" s="34"/>
      <c r="BO29" s="3"/>
      <c r="BP29" s="30"/>
      <c r="BQ29" s="89"/>
      <c r="BR29" s="34"/>
      <c r="BS29" s="34"/>
      <c r="BT29" s="34"/>
      <c r="BU29" s="3"/>
      <c r="BV29" s="30"/>
      <c r="BW29" s="89"/>
      <c r="BX29" s="34"/>
      <c r="BY29" s="34"/>
      <c r="BZ29" s="34"/>
      <c r="CA29" s="3"/>
      <c r="CB29" s="106"/>
      <c r="CC29" s="89"/>
      <c r="CD29" s="34"/>
      <c r="CE29" s="34"/>
      <c r="CF29" s="34"/>
      <c r="CG29" s="3"/>
      <c r="CH29" s="106"/>
      <c r="CI29" s="101"/>
      <c r="CJ29" s="34"/>
      <c r="CK29" s="34"/>
      <c r="CL29" s="34"/>
      <c r="CM29" s="3"/>
      <c r="CN29" s="3"/>
    </row>
    <row r="30" spans="1:92" s="15" customFormat="1" ht="23.25" customHeight="1" x14ac:dyDescent="0.35">
      <c r="A30" s="33" t="s">
        <v>120</v>
      </c>
      <c r="B30" s="42" t="s">
        <v>443</v>
      </c>
      <c r="C30" s="89"/>
      <c r="D30" s="34"/>
      <c r="E30" s="34"/>
      <c r="F30" s="34"/>
      <c r="G30" s="3">
        <f>(G6+G10+G20)*10%</f>
        <v>216266.66666666672</v>
      </c>
      <c r="H30" s="168" t="s">
        <v>444</v>
      </c>
      <c r="I30" s="89"/>
      <c r="J30" s="34"/>
      <c r="K30" s="34"/>
      <c r="L30" s="34"/>
      <c r="M30" s="3">
        <f>(M6+M10+M20)*10%</f>
        <v>112200</v>
      </c>
      <c r="N30" s="168" t="s">
        <v>444</v>
      </c>
      <c r="O30" s="89"/>
      <c r="P30" s="34"/>
      <c r="Q30" s="34"/>
      <c r="R30" s="34"/>
      <c r="S30" s="167">
        <f>(S6+S10+S20)*10%</f>
        <v>98000</v>
      </c>
      <c r="T30" s="168" t="s">
        <v>444</v>
      </c>
      <c r="U30" s="89"/>
      <c r="V30" s="34"/>
      <c r="W30" s="34"/>
      <c r="X30" s="34"/>
      <c r="Y30" s="3"/>
      <c r="Z30" s="30"/>
      <c r="AA30" s="89"/>
      <c r="AB30" s="34"/>
      <c r="AC30" s="34"/>
      <c r="AD30" s="34"/>
      <c r="AE30" s="167"/>
      <c r="AF30" s="239" t="s">
        <v>445</v>
      </c>
      <c r="AG30" s="89"/>
      <c r="AH30" s="34"/>
      <c r="AI30" s="34"/>
      <c r="AJ30" s="34"/>
      <c r="AK30" s="167">
        <f>(AK6+AK10+AK20)*10%</f>
        <v>36000</v>
      </c>
      <c r="AL30" s="168" t="s">
        <v>444</v>
      </c>
      <c r="AM30" s="89"/>
      <c r="AN30" s="34"/>
      <c r="AO30" s="34"/>
      <c r="AP30" s="34"/>
      <c r="AQ30" s="3"/>
      <c r="AR30" s="30"/>
      <c r="AS30" s="89"/>
      <c r="AT30" s="34"/>
      <c r="AU30" s="34"/>
      <c r="AV30" s="34"/>
      <c r="AW30" s="167">
        <f>(AW6+AW10+AW20)*10%</f>
        <v>81600</v>
      </c>
      <c r="AX30" s="168" t="s">
        <v>444</v>
      </c>
      <c r="AY30" s="89"/>
      <c r="AZ30" s="34"/>
      <c r="BA30" s="34"/>
      <c r="BB30" s="34"/>
      <c r="BC30" s="3"/>
      <c r="BD30" s="30"/>
      <c r="BE30" s="89"/>
      <c r="BF30" s="34"/>
      <c r="BG30" s="34"/>
      <c r="BH30" s="34"/>
      <c r="BI30" s="167"/>
      <c r="BJ30" s="239" t="s">
        <v>446</v>
      </c>
      <c r="BK30" s="89"/>
      <c r="BL30" s="34"/>
      <c r="BM30" s="34"/>
      <c r="BN30" s="34"/>
      <c r="BO30" s="3"/>
      <c r="BP30" s="30"/>
      <c r="BQ30" s="89"/>
      <c r="BR30" s="34"/>
      <c r="BS30" s="34"/>
      <c r="BT30" s="34"/>
      <c r="BU30" s="3"/>
      <c r="BV30" s="30"/>
      <c r="BW30" s="89"/>
      <c r="BX30" s="34"/>
      <c r="BY30" s="34"/>
      <c r="BZ30" s="34"/>
      <c r="CA30" s="3"/>
      <c r="CB30" s="106"/>
      <c r="CC30" s="89"/>
      <c r="CD30" s="34"/>
      <c r="CE30" s="34"/>
      <c r="CF30" s="34"/>
      <c r="CG30" s="167">
        <f>(CG6+CG10+CG20)*10%</f>
        <v>0</v>
      </c>
      <c r="CH30" s="273" t="s">
        <v>444</v>
      </c>
      <c r="CI30" s="101"/>
      <c r="CJ30" s="34"/>
      <c r="CK30" s="34"/>
      <c r="CL30" s="34"/>
      <c r="CM30" s="167">
        <f>(CM6+CM10+CM20)*10%</f>
        <v>22200</v>
      </c>
      <c r="CN30" s="274" t="s">
        <v>444</v>
      </c>
    </row>
    <row r="31" spans="1:92" s="15" customFormat="1" ht="23.25" customHeight="1" x14ac:dyDescent="0.35">
      <c r="A31" s="33" t="s">
        <v>122</v>
      </c>
      <c r="B31" s="42" t="s">
        <v>127</v>
      </c>
      <c r="C31" s="89"/>
      <c r="D31" s="34"/>
      <c r="E31" s="34"/>
      <c r="F31" s="34"/>
      <c r="G31" s="3"/>
      <c r="H31" s="30"/>
      <c r="I31" s="89"/>
      <c r="J31" s="34"/>
      <c r="K31" s="34"/>
      <c r="L31" s="34"/>
      <c r="M31" s="3"/>
      <c r="N31" s="30"/>
      <c r="O31" s="89"/>
      <c r="P31" s="34"/>
      <c r="Q31" s="34"/>
      <c r="R31" s="34"/>
      <c r="S31" s="3"/>
      <c r="T31" s="30"/>
      <c r="U31" s="89"/>
      <c r="V31" s="34"/>
      <c r="W31" s="34"/>
      <c r="X31" s="34"/>
      <c r="Y31" s="3"/>
      <c r="Z31" s="30"/>
      <c r="AA31" s="89"/>
      <c r="AB31" s="34"/>
      <c r="AC31" s="34"/>
      <c r="AD31" s="34"/>
      <c r="AE31" s="3"/>
      <c r="AF31" s="30"/>
      <c r="AG31" s="89"/>
      <c r="AH31" s="34"/>
      <c r="AI31" s="34"/>
      <c r="AJ31" s="34"/>
      <c r="AK31" s="3"/>
      <c r="AL31" s="30"/>
      <c r="AM31" s="89"/>
      <c r="AN31" s="34"/>
      <c r="AO31" s="34"/>
      <c r="AP31" s="34"/>
      <c r="AQ31" s="3"/>
      <c r="AR31" s="30"/>
      <c r="AS31" s="89"/>
      <c r="AT31" s="34"/>
      <c r="AU31" s="34"/>
      <c r="AV31" s="34"/>
      <c r="AW31" s="3"/>
      <c r="AX31" s="30"/>
      <c r="AY31" s="89"/>
      <c r="AZ31" s="34"/>
      <c r="BA31" s="34"/>
      <c r="BB31" s="34"/>
      <c r="BC31" s="3"/>
      <c r="BD31" s="30"/>
      <c r="BE31" s="89"/>
      <c r="BF31" s="34"/>
      <c r="BG31" s="34"/>
      <c r="BH31" s="34"/>
      <c r="BI31" s="3"/>
      <c r="BJ31" s="30"/>
      <c r="BK31" s="89"/>
      <c r="BL31" s="34"/>
      <c r="BM31" s="34"/>
      <c r="BN31" s="34"/>
      <c r="BO31" s="3"/>
      <c r="BP31" s="30"/>
      <c r="BQ31" s="89"/>
      <c r="BR31" s="34"/>
      <c r="BS31" s="34"/>
      <c r="BT31" s="34"/>
      <c r="BU31" s="3"/>
      <c r="BV31" s="30"/>
      <c r="BW31" s="89"/>
      <c r="BX31" s="34"/>
      <c r="BY31" s="34"/>
      <c r="BZ31" s="34"/>
      <c r="CA31" s="3"/>
      <c r="CB31" s="106"/>
      <c r="CC31" s="89"/>
      <c r="CD31" s="34"/>
      <c r="CE31" s="34"/>
      <c r="CF31" s="34"/>
      <c r="CG31" s="3"/>
      <c r="CH31" s="106"/>
      <c r="CI31" s="101"/>
      <c r="CJ31" s="34"/>
      <c r="CK31" s="34"/>
      <c r="CL31" s="34"/>
      <c r="CM31" s="3"/>
      <c r="CN31" s="3"/>
    </row>
    <row r="32" spans="1:92" s="15" customFormat="1" ht="23.25" customHeight="1" thickBot="1" x14ac:dyDescent="0.4">
      <c r="A32" s="35">
        <v>5</v>
      </c>
      <c r="B32" s="48" t="s">
        <v>128</v>
      </c>
      <c r="C32" s="92"/>
      <c r="D32" s="36"/>
      <c r="E32" s="36"/>
      <c r="F32" s="36"/>
      <c r="G32" s="37">
        <f>G6+G10+G20-G28</f>
        <v>1946400.0000000002</v>
      </c>
      <c r="H32" s="38"/>
      <c r="I32" s="92"/>
      <c r="J32" s="36"/>
      <c r="K32" s="36"/>
      <c r="L32" s="36"/>
      <c r="M32" s="37">
        <f>M6+M10+M20-M28</f>
        <v>1009800</v>
      </c>
      <c r="N32" s="38"/>
      <c r="O32" s="92"/>
      <c r="P32" s="36"/>
      <c r="Q32" s="36"/>
      <c r="R32" s="36"/>
      <c r="S32" s="37">
        <f>S6+S10+S20-S28</f>
        <v>882000</v>
      </c>
      <c r="T32" s="38"/>
      <c r="U32" s="92"/>
      <c r="V32" s="36"/>
      <c r="W32" s="36"/>
      <c r="X32" s="36"/>
      <c r="Y32" s="37">
        <f>Y6+Y10+Y20-Y28</f>
        <v>3732000</v>
      </c>
      <c r="Z32" s="38"/>
      <c r="AA32" s="92"/>
      <c r="AB32" s="36"/>
      <c r="AC32" s="36"/>
      <c r="AD32" s="36"/>
      <c r="AE32" s="37">
        <f>AE6+AE10+AE20-AE28</f>
        <v>0</v>
      </c>
      <c r="AF32" s="38"/>
      <c r="AG32" s="92"/>
      <c r="AH32" s="36"/>
      <c r="AI32" s="36"/>
      <c r="AJ32" s="36"/>
      <c r="AK32" s="37">
        <f>AK6+AK10+AK20-AK28</f>
        <v>324000</v>
      </c>
      <c r="AL32" s="38"/>
      <c r="AM32" s="92"/>
      <c r="AN32" s="36"/>
      <c r="AO32" s="36"/>
      <c r="AP32" s="36"/>
      <c r="AQ32" s="37">
        <f>AQ6+AQ10+AQ20-AQ28</f>
        <v>3905333.1</v>
      </c>
      <c r="AR32" s="38"/>
      <c r="AS32" s="92"/>
      <c r="AT32" s="36"/>
      <c r="AU32" s="36"/>
      <c r="AV32" s="36"/>
      <c r="AW32" s="37">
        <f>AW6+AW10+AW20-AW28</f>
        <v>734400</v>
      </c>
      <c r="AX32" s="38"/>
      <c r="AY32" s="92"/>
      <c r="AZ32" s="36"/>
      <c r="BA32" s="36"/>
      <c r="BB32" s="36"/>
      <c r="BC32" s="37">
        <f>BC6+BC10+BC20-BC28</f>
        <v>1012000</v>
      </c>
      <c r="BD32" s="38"/>
      <c r="BE32" s="92"/>
      <c r="BF32" s="36"/>
      <c r="BG32" s="36"/>
      <c r="BH32" s="36"/>
      <c r="BI32" s="37">
        <f>BI6+BI10+BI20-BI28</f>
        <v>200000</v>
      </c>
      <c r="BJ32" s="38"/>
      <c r="BK32" s="92"/>
      <c r="BL32" s="36"/>
      <c r="BM32" s="36"/>
      <c r="BN32" s="36"/>
      <c r="BO32" s="37">
        <f>BO6+BO10+BO20-BO28</f>
        <v>372000</v>
      </c>
      <c r="BP32" s="38"/>
      <c r="BQ32" s="92"/>
      <c r="BR32" s="36"/>
      <c r="BS32" s="36"/>
      <c r="BT32" s="36"/>
      <c r="BU32" s="37">
        <f>BU6+BU10+BU20-BU28</f>
        <v>310000</v>
      </c>
      <c r="BV32" s="38"/>
      <c r="BW32" s="92"/>
      <c r="BX32" s="36"/>
      <c r="BY32" s="36"/>
      <c r="BZ32" s="36"/>
      <c r="CA32" s="37">
        <f>CA6+CA10+CA20-CA28</f>
        <v>1062000</v>
      </c>
      <c r="CB32" s="131"/>
      <c r="CC32" s="92"/>
      <c r="CD32" s="36"/>
      <c r="CE32" s="36"/>
      <c r="CF32" s="36"/>
      <c r="CG32" s="37">
        <f>CG6+CG10+CG20-CG28</f>
        <v>0</v>
      </c>
      <c r="CH32" s="131"/>
      <c r="CI32" s="104"/>
      <c r="CJ32" s="34"/>
      <c r="CK32" s="34"/>
      <c r="CL32" s="34"/>
      <c r="CM32" s="3">
        <f>CM6+CM10+CM20-CM28</f>
        <v>199800</v>
      </c>
      <c r="CN32" s="3"/>
    </row>
    <row r="33" spans="1:92" ht="34.5" customHeight="1" x14ac:dyDescent="0.35"/>
    <row r="34" spans="1:92" s="1" customFormat="1" ht="47.25" customHeight="1" x14ac:dyDescent="0.35">
      <c r="A34" s="2"/>
      <c r="B34" s="40" t="s">
        <v>129</v>
      </c>
      <c r="C34" s="97"/>
      <c r="D34" s="305">
        <f>SUM(C32:CN32)</f>
        <v>15689733.1</v>
      </c>
      <c r="E34" s="306"/>
      <c r="F34" s="306"/>
      <c r="G34" s="39"/>
      <c r="H34" s="39"/>
      <c r="I34" s="85"/>
      <c r="J34" s="57"/>
      <c r="K34" s="57"/>
      <c r="L34" s="57"/>
      <c r="M34" s="39"/>
      <c r="N34" s="39"/>
      <c r="O34" s="85"/>
      <c r="P34" s="57"/>
      <c r="Q34" s="57"/>
      <c r="R34" s="57"/>
      <c r="S34" s="39"/>
      <c r="T34" s="39"/>
      <c r="U34" s="85"/>
      <c r="V34" s="57"/>
      <c r="W34" s="57"/>
      <c r="X34" s="57"/>
      <c r="Y34" s="39"/>
      <c r="Z34" s="39"/>
      <c r="AA34" s="85"/>
      <c r="AB34" s="57"/>
      <c r="AC34" s="57"/>
      <c r="AD34" s="57"/>
      <c r="AE34" s="39"/>
      <c r="AF34" s="39"/>
      <c r="AG34" s="85"/>
      <c r="AH34" s="57"/>
      <c r="AI34" s="57"/>
      <c r="AJ34" s="57"/>
      <c r="AK34" s="39"/>
      <c r="AL34" s="39"/>
      <c r="AM34" s="85"/>
      <c r="AN34" s="57"/>
      <c r="AO34" s="57"/>
      <c r="AP34" s="57"/>
      <c r="AQ34" s="39"/>
      <c r="AR34" s="39"/>
      <c r="AS34" s="85"/>
      <c r="AT34" s="57"/>
      <c r="AU34" s="57"/>
      <c r="AV34" s="57"/>
      <c r="AW34" s="39"/>
      <c r="AX34" s="39"/>
      <c r="AY34" s="85"/>
      <c r="AZ34" s="57"/>
      <c r="BA34" s="57"/>
      <c r="BB34" s="57"/>
      <c r="BC34" s="39"/>
      <c r="BD34" s="39"/>
      <c r="BE34" s="85"/>
      <c r="BF34" s="57"/>
      <c r="BG34" s="57"/>
      <c r="BH34" s="57"/>
      <c r="BI34" s="39"/>
      <c r="BJ34" s="39"/>
      <c r="BK34" s="85"/>
      <c r="BL34" s="57"/>
      <c r="BM34" s="57"/>
      <c r="BN34" s="57"/>
      <c r="BO34" s="39"/>
      <c r="BP34" s="39"/>
      <c r="BQ34" s="85"/>
      <c r="BR34" s="57"/>
      <c r="BS34" s="57"/>
      <c r="BT34" s="57"/>
      <c r="BU34" s="39"/>
      <c r="BV34" s="39"/>
      <c r="BW34" s="85"/>
      <c r="BX34" s="57"/>
      <c r="BY34" s="57"/>
      <c r="BZ34" s="57"/>
      <c r="CA34" s="39"/>
      <c r="CB34" s="39"/>
      <c r="CC34" s="85"/>
      <c r="CD34" s="57"/>
      <c r="CE34" s="57"/>
      <c r="CF34" s="57"/>
      <c r="CG34" s="39"/>
      <c r="CH34" s="39"/>
      <c r="CI34" s="85"/>
      <c r="CJ34" s="57"/>
      <c r="CK34" s="57"/>
      <c r="CL34" s="57"/>
      <c r="CM34" s="39"/>
      <c r="CN34" s="39"/>
    </row>
    <row r="37" spans="1:92" s="17" customFormat="1" ht="23.25" customHeight="1" x14ac:dyDescent="0.35">
      <c r="C37" s="86"/>
      <c r="D37" s="18"/>
      <c r="E37" s="18"/>
      <c r="F37" s="18"/>
      <c r="G37" s="39"/>
      <c r="H37" s="39"/>
      <c r="I37" s="86"/>
      <c r="J37" s="18"/>
      <c r="K37" s="18"/>
      <c r="L37" s="18"/>
      <c r="M37" s="39"/>
      <c r="N37" s="39"/>
      <c r="O37" s="86"/>
      <c r="P37" s="18"/>
      <c r="Q37" s="18"/>
      <c r="R37" s="18"/>
      <c r="S37" s="39"/>
      <c r="T37" s="39"/>
      <c r="U37" s="86"/>
      <c r="V37" s="18"/>
      <c r="W37" s="18"/>
      <c r="X37" s="18"/>
      <c r="Y37" s="39"/>
      <c r="Z37" s="39"/>
      <c r="AA37" s="86"/>
      <c r="AB37" s="18"/>
      <c r="AC37" s="18"/>
      <c r="AD37" s="18"/>
      <c r="AE37" s="39"/>
      <c r="AF37" s="39"/>
      <c r="AG37" s="86"/>
      <c r="AH37" s="18"/>
      <c r="AI37" s="18"/>
      <c r="AJ37" s="18"/>
      <c r="AK37" s="39"/>
      <c r="AL37" s="39"/>
      <c r="AM37" s="86"/>
      <c r="AN37" s="18"/>
      <c r="AO37" s="18"/>
      <c r="AP37" s="18"/>
      <c r="AQ37" s="39"/>
      <c r="AR37" s="39"/>
      <c r="AS37" s="86"/>
      <c r="AT37" s="18"/>
      <c r="AU37" s="18"/>
      <c r="AV37" s="18"/>
      <c r="AW37" s="39"/>
      <c r="AX37" s="39"/>
      <c r="AY37" s="86"/>
      <c r="AZ37" s="18"/>
      <c r="BA37" s="18"/>
      <c r="BB37" s="18"/>
      <c r="BC37" s="39"/>
      <c r="BD37" s="39"/>
      <c r="BE37" s="86"/>
      <c r="BF37" s="18"/>
      <c r="BG37" s="18"/>
      <c r="BH37" s="18"/>
      <c r="BI37" s="39"/>
      <c r="BJ37" s="39"/>
      <c r="BK37" s="86"/>
      <c r="BL37" s="18"/>
      <c r="BM37" s="18"/>
      <c r="BN37" s="18"/>
      <c r="BO37" s="39"/>
      <c r="BP37" s="39"/>
      <c r="BQ37" s="86"/>
      <c r="BR37" s="18"/>
      <c r="BS37" s="18"/>
      <c r="BT37" s="18"/>
      <c r="BU37" s="39"/>
      <c r="BV37" s="39"/>
      <c r="BW37" s="86"/>
      <c r="BX37" s="18"/>
      <c r="BY37" s="18"/>
      <c r="BZ37" s="18"/>
      <c r="CA37" s="39"/>
      <c r="CB37" s="39"/>
      <c r="CC37" s="86"/>
      <c r="CD37" s="18"/>
      <c r="CE37" s="18"/>
      <c r="CF37" s="18"/>
      <c r="CG37" s="39"/>
      <c r="CH37" s="39"/>
      <c r="CI37" s="86"/>
      <c r="CJ37" s="18"/>
      <c r="CK37" s="18"/>
      <c r="CL37" s="18"/>
      <c r="CM37" s="39"/>
      <c r="CN37" s="39"/>
    </row>
    <row r="38" spans="1:92" s="17" customFormat="1" ht="31.5" customHeight="1" x14ac:dyDescent="0.35">
      <c r="C38" s="86"/>
      <c r="D38" s="18"/>
      <c r="E38" s="18"/>
      <c r="F38" s="18"/>
      <c r="G38" s="39"/>
      <c r="H38" s="39"/>
      <c r="I38" s="86"/>
      <c r="J38" s="18"/>
      <c r="K38" s="18"/>
      <c r="L38" s="18"/>
      <c r="M38" s="39"/>
      <c r="N38" s="39"/>
      <c r="O38" s="86"/>
      <c r="P38" s="18"/>
      <c r="Q38" s="18"/>
      <c r="R38" s="18"/>
      <c r="S38" s="39"/>
      <c r="T38" s="39"/>
      <c r="U38" s="86"/>
      <c r="V38" s="18"/>
      <c r="W38" s="18"/>
      <c r="X38" s="18"/>
      <c r="Y38" s="39"/>
      <c r="Z38" s="39"/>
      <c r="AA38" s="86"/>
      <c r="AB38" s="18"/>
      <c r="AC38" s="18"/>
      <c r="AD38" s="18"/>
      <c r="AE38" s="39"/>
      <c r="AF38" s="39"/>
      <c r="AG38" s="86"/>
      <c r="AH38" s="18"/>
      <c r="AI38" s="18"/>
      <c r="AJ38" s="18"/>
      <c r="AK38" s="39"/>
      <c r="AL38" s="39"/>
      <c r="AM38" s="86"/>
      <c r="AN38" s="18"/>
      <c r="AO38" s="18"/>
      <c r="AP38" s="18"/>
      <c r="AQ38" s="39"/>
      <c r="AR38" s="39"/>
      <c r="AS38" s="86"/>
      <c r="AT38" s="18"/>
      <c r="AU38" s="18"/>
      <c r="AV38" s="18"/>
      <c r="AW38" s="39"/>
      <c r="AX38" s="39"/>
      <c r="AY38" s="86"/>
      <c r="AZ38" s="18"/>
      <c r="BA38" s="18"/>
      <c r="BB38" s="18"/>
      <c r="BC38" s="39"/>
      <c r="BD38" s="39"/>
      <c r="BE38" s="86"/>
      <c r="BF38" s="18"/>
      <c r="BG38" s="18"/>
      <c r="BH38" s="18"/>
      <c r="BI38" s="39"/>
      <c r="BJ38" s="39"/>
      <c r="BK38" s="86"/>
      <c r="BL38" s="18"/>
      <c r="BM38" s="18"/>
      <c r="BN38" s="18"/>
      <c r="BO38" s="39"/>
      <c r="BP38" s="39"/>
      <c r="BQ38" s="86"/>
      <c r="BR38" s="18"/>
      <c r="BS38" s="18"/>
      <c r="BT38" s="18"/>
      <c r="BU38" s="39"/>
      <c r="BV38" s="39"/>
      <c r="BW38" s="86"/>
      <c r="BX38" s="18"/>
      <c r="BY38" s="18"/>
      <c r="BZ38" s="18"/>
      <c r="CA38" s="39"/>
      <c r="CB38" s="39"/>
      <c r="CC38" s="86"/>
      <c r="CD38" s="18"/>
      <c r="CE38" s="18"/>
      <c r="CF38" s="18"/>
      <c r="CG38" s="39"/>
      <c r="CH38" s="39"/>
      <c r="CI38" s="86"/>
      <c r="CJ38" s="18"/>
      <c r="CK38" s="18"/>
      <c r="CL38" s="18"/>
      <c r="CM38" s="39"/>
      <c r="CN38" s="39"/>
    </row>
    <row r="39" spans="1:92" s="17" customFormat="1" ht="31.5" customHeight="1" x14ac:dyDescent="0.35">
      <c r="C39" s="86"/>
      <c r="D39" s="18"/>
      <c r="E39" s="18"/>
      <c r="F39" s="18"/>
      <c r="G39" s="39"/>
      <c r="H39" s="39"/>
      <c r="I39" s="86"/>
      <c r="J39" s="18"/>
      <c r="K39" s="18"/>
      <c r="L39" s="18"/>
      <c r="M39" s="39"/>
      <c r="N39" s="39"/>
      <c r="O39" s="86"/>
      <c r="P39" s="18"/>
      <c r="Q39" s="18"/>
      <c r="R39" s="18"/>
      <c r="S39" s="39"/>
      <c r="T39" s="39"/>
      <c r="U39" s="86"/>
      <c r="V39" s="18"/>
      <c r="W39" s="18"/>
      <c r="X39" s="18"/>
      <c r="Y39" s="39"/>
      <c r="Z39" s="39"/>
      <c r="AA39" s="86"/>
      <c r="AB39" s="18"/>
      <c r="AC39" s="18"/>
      <c r="AD39" s="18"/>
      <c r="AE39" s="39"/>
      <c r="AF39" s="39"/>
      <c r="AG39" s="86"/>
      <c r="AH39" s="18"/>
      <c r="AI39" s="18"/>
      <c r="AJ39" s="18"/>
      <c r="AK39" s="39"/>
      <c r="AL39" s="39"/>
      <c r="AM39" s="86"/>
      <c r="AN39" s="18"/>
      <c r="AO39" s="18"/>
      <c r="AP39" s="18"/>
      <c r="AQ39" s="39"/>
      <c r="AR39" s="39"/>
      <c r="AS39" s="86"/>
      <c r="AT39" s="18"/>
      <c r="AU39" s="18"/>
      <c r="AV39" s="18"/>
      <c r="AW39" s="39"/>
      <c r="AX39" s="39"/>
      <c r="AY39" s="86"/>
      <c r="AZ39" s="18"/>
      <c r="BA39" s="18"/>
      <c r="BB39" s="18"/>
      <c r="BC39" s="39"/>
      <c r="BD39" s="39"/>
      <c r="BE39" s="86"/>
      <c r="BF39" s="18"/>
      <c r="BG39" s="18"/>
      <c r="BH39" s="18"/>
      <c r="BI39" s="39"/>
      <c r="BJ39" s="39"/>
      <c r="BK39" s="86"/>
      <c r="BL39" s="18"/>
      <c r="BM39" s="18"/>
      <c r="BN39" s="18"/>
      <c r="BO39" s="39"/>
      <c r="BP39" s="39"/>
      <c r="BQ39" s="86"/>
      <c r="BR39" s="18"/>
      <c r="BS39" s="18"/>
      <c r="BT39" s="18"/>
      <c r="BU39" s="39"/>
      <c r="BV39" s="39"/>
      <c r="BW39" s="86"/>
      <c r="BX39" s="18"/>
      <c r="BY39" s="18"/>
      <c r="BZ39" s="18"/>
      <c r="CA39" s="39"/>
      <c r="CB39" s="39"/>
      <c r="CC39" s="86"/>
      <c r="CD39" s="18"/>
      <c r="CE39" s="18"/>
      <c r="CF39" s="18"/>
      <c r="CG39" s="39"/>
      <c r="CH39" s="39"/>
      <c r="CI39" s="86"/>
      <c r="CJ39" s="18"/>
      <c r="CK39" s="18"/>
      <c r="CL39" s="18"/>
      <c r="CM39" s="39"/>
      <c r="CN39" s="39"/>
    </row>
    <row r="40" spans="1:92" s="17" customFormat="1" ht="31.5" customHeight="1" x14ac:dyDescent="0.35">
      <c r="C40" s="86"/>
      <c r="D40" s="18"/>
      <c r="E40" s="18"/>
      <c r="F40" s="18"/>
      <c r="G40" s="39"/>
      <c r="H40" s="39"/>
      <c r="I40" s="86"/>
      <c r="J40" s="18"/>
      <c r="K40" s="18"/>
      <c r="L40" s="18"/>
      <c r="M40" s="39"/>
      <c r="N40" s="39"/>
      <c r="O40" s="86"/>
      <c r="P40" s="18"/>
      <c r="Q40" s="18"/>
      <c r="R40" s="18"/>
      <c r="S40" s="39"/>
      <c r="T40" s="39"/>
      <c r="U40" s="86"/>
      <c r="V40" s="18"/>
      <c r="W40" s="18"/>
      <c r="X40" s="18"/>
      <c r="Y40" s="39"/>
      <c r="Z40" s="39"/>
      <c r="AA40" s="86"/>
      <c r="AB40" s="18"/>
      <c r="AC40" s="18"/>
      <c r="AD40" s="18"/>
      <c r="AE40" s="39"/>
      <c r="AF40" s="39"/>
      <c r="AG40" s="86"/>
      <c r="AH40" s="18"/>
      <c r="AI40" s="18"/>
      <c r="AJ40" s="18"/>
      <c r="AK40" s="39"/>
      <c r="AL40" s="39"/>
      <c r="AM40" s="86"/>
      <c r="AN40" s="18"/>
      <c r="AO40" s="18"/>
      <c r="AP40" s="18"/>
      <c r="AQ40" s="39"/>
      <c r="AR40" s="39"/>
      <c r="AS40" s="86"/>
      <c r="AT40" s="18"/>
      <c r="AU40" s="18"/>
      <c r="AV40" s="18"/>
      <c r="AW40" s="39"/>
      <c r="AX40" s="39"/>
      <c r="AY40" s="86"/>
      <c r="AZ40" s="18"/>
      <c r="BA40" s="18"/>
      <c r="BB40" s="18"/>
      <c r="BC40" s="39"/>
      <c r="BD40" s="39"/>
      <c r="BE40" s="86"/>
      <c r="BF40" s="18"/>
      <c r="BG40" s="18"/>
      <c r="BH40" s="18"/>
      <c r="BI40" s="39"/>
      <c r="BJ40" s="39"/>
      <c r="BK40" s="86"/>
      <c r="BL40" s="18"/>
      <c r="BM40" s="18"/>
      <c r="BN40" s="18"/>
      <c r="BO40" s="39"/>
      <c r="BP40" s="39"/>
      <c r="BQ40" s="86"/>
      <c r="BR40" s="18"/>
      <c r="BS40" s="18"/>
      <c r="BT40" s="18"/>
      <c r="BU40" s="39"/>
      <c r="BV40" s="39"/>
      <c r="BW40" s="86"/>
      <c r="BX40" s="18"/>
      <c r="BY40" s="18"/>
      <c r="BZ40" s="18"/>
      <c r="CA40" s="39"/>
      <c r="CB40" s="39"/>
      <c r="CC40" s="86"/>
      <c r="CD40" s="18"/>
      <c r="CE40" s="18"/>
      <c r="CF40" s="18"/>
      <c r="CG40" s="39"/>
      <c r="CH40" s="39"/>
      <c r="CI40" s="86"/>
      <c r="CJ40" s="18"/>
      <c r="CK40" s="18"/>
      <c r="CL40" s="18"/>
      <c r="CM40" s="39"/>
      <c r="CN40" s="39"/>
    </row>
    <row r="41" spans="1:92" s="17" customFormat="1" ht="31.5" customHeight="1" x14ac:dyDescent="0.35">
      <c r="C41" s="86"/>
      <c r="D41" s="18"/>
      <c r="E41" s="18"/>
      <c r="F41" s="18"/>
      <c r="G41" s="39"/>
      <c r="H41" s="39"/>
      <c r="I41" s="86"/>
      <c r="J41" s="18"/>
      <c r="K41" s="18"/>
      <c r="L41" s="18"/>
      <c r="M41" s="39"/>
      <c r="N41" s="39"/>
      <c r="O41" s="86"/>
      <c r="P41" s="18"/>
      <c r="Q41" s="18"/>
      <c r="R41" s="18"/>
      <c r="S41" s="39"/>
      <c r="T41" s="39"/>
      <c r="U41" s="86"/>
      <c r="V41" s="18"/>
      <c r="W41" s="18"/>
      <c r="X41" s="18"/>
      <c r="Y41" s="39"/>
      <c r="Z41" s="39"/>
      <c r="AA41" s="86"/>
      <c r="AB41" s="18"/>
      <c r="AC41" s="18"/>
      <c r="AD41" s="18"/>
      <c r="AE41" s="39"/>
      <c r="AF41" s="39"/>
      <c r="AG41" s="86"/>
      <c r="AH41" s="18"/>
      <c r="AI41" s="18"/>
      <c r="AJ41" s="18"/>
      <c r="AK41" s="39"/>
      <c r="AL41" s="39"/>
      <c r="AM41" s="86"/>
      <c r="AN41" s="18"/>
      <c r="AO41" s="18"/>
      <c r="AP41" s="18"/>
      <c r="AQ41" s="39"/>
      <c r="AR41" s="39"/>
      <c r="AS41" s="86"/>
      <c r="AT41" s="18"/>
      <c r="AU41" s="18"/>
      <c r="AV41" s="18"/>
      <c r="AW41" s="39"/>
      <c r="AX41" s="39"/>
      <c r="AY41" s="86"/>
      <c r="AZ41" s="18"/>
      <c r="BA41" s="18"/>
      <c r="BB41" s="18"/>
      <c r="BC41" s="39"/>
      <c r="BD41" s="39"/>
      <c r="BE41" s="86"/>
      <c r="BF41" s="18"/>
      <c r="BG41" s="18"/>
      <c r="BH41" s="18"/>
      <c r="BI41" s="39"/>
      <c r="BJ41" s="39"/>
      <c r="BK41" s="86"/>
      <c r="BL41" s="18"/>
      <c r="BM41" s="18"/>
      <c r="BN41" s="18"/>
      <c r="BO41" s="39"/>
      <c r="BP41" s="39"/>
      <c r="BQ41" s="86"/>
      <c r="BR41" s="18"/>
      <c r="BS41" s="18"/>
      <c r="BT41" s="18"/>
      <c r="BU41" s="39"/>
      <c r="BV41" s="39"/>
      <c r="BW41" s="86"/>
      <c r="BX41" s="18"/>
      <c r="BY41" s="18"/>
      <c r="BZ41" s="18"/>
      <c r="CA41" s="39"/>
      <c r="CB41" s="39"/>
      <c r="CC41" s="86"/>
      <c r="CD41" s="18"/>
      <c r="CE41" s="18"/>
      <c r="CF41" s="18"/>
      <c r="CG41" s="39"/>
      <c r="CH41" s="39"/>
      <c r="CI41" s="86"/>
      <c r="CJ41" s="18"/>
      <c r="CK41" s="18"/>
      <c r="CL41" s="18"/>
      <c r="CM41" s="39"/>
      <c r="CN41" s="39"/>
    </row>
    <row r="42" spans="1:92" s="17" customFormat="1" ht="29.25" customHeight="1" x14ac:dyDescent="0.35">
      <c r="C42" s="86"/>
      <c r="D42" s="18"/>
      <c r="E42" s="18"/>
      <c r="F42" s="18"/>
      <c r="G42" s="18"/>
      <c r="H42" s="18"/>
      <c r="I42" s="86"/>
      <c r="J42" s="18"/>
      <c r="K42" s="18"/>
      <c r="L42" s="18"/>
      <c r="M42" s="18"/>
      <c r="N42" s="18"/>
      <c r="O42" s="86"/>
      <c r="P42" s="18"/>
      <c r="Q42" s="18"/>
      <c r="R42" s="18"/>
      <c r="S42" s="18"/>
      <c r="T42" s="18"/>
      <c r="U42" s="86"/>
      <c r="V42" s="18"/>
      <c r="W42" s="18"/>
      <c r="X42" s="18"/>
      <c r="Y42" s="18"/>
      <c r="Z42" s="18"/>
      <c r="AA42" s="86"/>
      <c r="AB42" s="18"/>
      <c r="AC42" s="18"/>
      <c r="AD42" s="18"/>
      <c r="AE42" s="18"/>
      <c r="AF42" s="18"/>
      <c r="AG42" s="86"/>
      <c r="AH42" s="18"/>
      <c r="AI42" s="18"/>
      <c r="AJ42" s="18"/>
      <c r="AK42" s="18"/>
      <c r="AL42" s="18"/>
      <c r="AM42" s="86"/>
      <c r="AN42" s="18"/>
      <c r="AO42" s="18"/>
      <c r="AP42" s="18"/>
      <c r="AQ42" s="18"/>
      <c r="AR42" s="18"/>
      <c r="AS42" s="86"/>
      <c r="AT42" s="18"/>
      <c r="AU42" s="18"/>
      <c r="AV42" s="18"/>
      <c r="AW42" s="18"/>
      <c r="AX42" s="18"/>
      <c r="AY42" s="86"/>
      <c r="AZ42" s="18"/>
      <c r="BA42" s="18"/>
      <c r="BB42" s="18"/>
      <c r="BC42" s="18"/>
      <c r="BD42" s="18"/>
      <c r="BE42" s="86"/>
      <c r="BF42" s="18"/>
      <c r="BG42" s="18"/>
      <c r="BH42" s="18"/>
      <c r="BI42" s="18"/>
      <c r="BJ42" s="18"/>
      <c r="BK42" s="86"/>
      <c r="BL42" s="18"/>
      <c r="BM42" s="18"/>
      <c r="BN42" s="18"/>
      <c r="BO42" s="18"/>
      <c r="BP42" s="18"/>
      <c r="BQ42" s="86"/>
      <c r="BR42" s="18"/>
      <c r="BS42" s="18"/>
      <c r="BT42" s="18"/>
      <c r="BU42" s="18"/>
      <c r="BV42" s="18"/>
      <c r="BW42" s="86"/>
      <c r="BX42" s="18"/>
      <c r="BY42" s="18"/>
      <c r="BZ42" s="18"/>
      <c r="CA42" s="18"/>
      <c r="CB42" s="18"/>
      <c r="CC42" s="86"/>
      <c r="CD42" s="18"/>
      <c r="CE42" s="18"/>
      <c r="CF42" s="18"/>
      <c r="CG42" s="18"/>
      <c r="CH42" s="18"/>
      <c r="CI42" s="86"/>
      <c r="CJ42" s="18"/>
      <c r="CK42" s="18"/>
      <c r="CL42" s="18"/>
      <c r="CM42" s="18"/>
      <c r="CN42" s="18"/>
    </row>
    <row r="43" spans="1:92" s="17" customFormat="1" ht="29.25" customHeight="1" x14ac:dyDescent="0.35">
      <c r="C43" s="86"/>
      <c r="D43" s="18"/>
      <c r="E43" s="18"/>
      <c r="F43" s="18"/>
      <c r="G43" s="39"/>
      <c r="H43" s="39"/>
      <c r="I43" s="86"/>
      <c r="J43" s="18"/>
      <c r="K43" s="18"/>
      <c r="L43" s="18"/>
      <c r="M43" s="39"/>
      <c r="N43" s="39"/>
      <c r="O43" s="86"/>
      <c r="P43" s="18"/>
      <c r="Q43" s="18"/>
      <c r="R43" s="18"/>
      <c r="S43" s="39"/>
      <c r="T43" s="39"/>
      <c r="U43" s="86"/>
      <c r="V43" s="18"/>
      <c r="W43" s="18"/>
      <c r="X43" s="18"/>
      <c r="Y43" s="39"/>
      <c r="Z43" s="39"/>
      <c r="AA43" s="86"/>
      <c r="AB43" s="18"/>
      <c r="AC43" s="18"/>
      <c r="AD43" s="18"/>
      <c r="AE43" s="39"/>
      <c r="AF43" s="39"/>
      <c r="AG43" s="86"/>
      <c r="AH43" s="18"/>
      <c r="AI43" s="18"/>
      <c r="AJ43" s="18"/>
      <c r="AK43" s="39"/>
      <c r="AL43" s="39"/>
      <c r="AM43" s="86"/>
      <c r="AN43" s="18"/>
      <c r="AO43" s="18"/>
      <c r="AP43" s="18"/>
      <c r="AQ43" s="39"/>
      <c r="AR43" s="39"/>
      <c r="AS43" s="86"/>
      <c r="AT43" s="18"/>
      <c r="AU43" s="18"/>
      <c r="AV43" s="18"/>
      <c r="AW43" s="39"/>
      <c r="AX43" s="39"/>
      <c r="AY43" s="86"/>
      <c r="AZ43" s="18"/>
      <c r="BA43" s="18"/>
      <c r="BB43" s="18"/>
      <c r="BC43" s="39"/>
      <c r="BD43" s="39"/>
      <c r="BE43" s="86"/>
      <c r="BF43" s="18"/>
      <c r="BG43" s="18"/>
      <c r="BH43" s="18"/>
      <c r="BI43" s="39"/>
      <c r="BJ43" s="39"/>
      <c r="BK43" s="86"/>
      <c r="BL43" s="18"/>
      <c r="BM43" s="18"/>
      <c r="BN43" s="18"/>
      <c r="BO43" s="39"/>
      <c r="BP43" s="39"/>
      <c r="BQ43" s="86"/>
      <c r="BR43" s="18"/>
      <c r="BS43" s="18"/>
      <c r="BT43" s="18"/>
      <c r="BU43" s="39"/>
      <c r="BV43" s="39"/>
      <c r="BW43" s="86"/>
      <c r="BX43" s="18"/>
      <c r="BY43" s="18"/>
      <c r="BZ43" s="18"/>
      <c r="CA43" s="39"/>
      <c r="CB43" s="39"/>
      <c r="CC43" s="86"/>
      <c r="CD43" s="18"/>
      <c r="CE43" s="18"/>
      <c r="CF43" s="18"/>
      <c r="CG43" s="39"/>
      <c r="CH43" s="39"/>
      <c r="CI43" s="86"/>
      <c r="CJ43" s="18"/>
      <c r="CK43" s="18"/>
      <c r="CL43" s="18"/>
      <c r="CM43" s="39"/>
      <c r="CN43" s="39"/>
    </row>
    <row r="50" spans="3:87" ht="13.5" customHeight="1" x14ac:dyDescent="0.35">
      <c r="C50" s="275" t="s">
        <v>447</v>
      </c>
      <c r="I50" s="275" t="s">
        <v>448</v>
      </c>
      <c r="O50" s="275" t="s">
        <v>449</v>
      </c>
      <c r="U50" s="275" t="s">
        <v>450</v>
      </c>
      <c r="AA50" s="275" t="s">
        <v>451</v>
      </c>
      <c r="AG50" s="275" t="s">
        <v>452</v>
      </c>
      <c r="AM50" s="275" t="s">
        <v>453</v>
      </c>
      <c r="AS50" s="275" t="s">
        <v>454</v>
      </c>
      <c r="AY50" s="275" t="s">
        <v>455</v>
      </c>
      <c r="BE50" s="275" t="s">
        <v>456</v>
      </c>
      <c r="BK50" s="275" t="s">
        <v>457</v>
      </c>
      <c r="BQ50" s="275" t="s">
        <v>458</v>
      </c>
      <c r="BW50" s="275" t="s">
        <v>459</v>
      </c>
      <c r="CC50" s="275" t="s">
        <v>460</v>
      </c>
      <c r="CI50" s="275" t="s">
        <v>461</v>
      </c>
    </row>
  </sheetData>
  <mergeCells count="63">
    <mergeCell ref="CN11:CN17"/>
    <mergeCell ref="AY4:BD4"/>
    <mergeCell ref="BE4:BJ4"/>
    <mergeCell ref="AX11:AX17"/>
    <mergeCell ref="D34:F34"/>
    <mergeCell ref="CB11:CB17"/>
    <mergeCell ref="BE3:BJ3"/>
    <mergeCell ref="AG4:AL4"/>
    <mergeCell ref="AY3:BD3"/>
    <mergeCell ref="AL11:AL17"/>
    <mergeCell ref="C4:H4"/>
    <mergeCell ref="A5:B5"/>
    <mergeCell ref="U4:Z4"/>
    <mergeCell ref="C3:H3"/>
    <mergeCell ref="O3:T3"/>
    <mergeCell ref="Z11:Z17"/>
    <mergeCell ref="O2:T2"/>
    <mergeCell ref="AM3:AR3"/>
    <mergeCell ref="AS3:AX3"/>
    <mergeCell ref="A2:B2"/>
    <mergeCell ref="BK2:BP2"/>
    <mergeCell ref="AA2:AF2"/>
    <mergeCell ref="AM2:AR2"/>
    <mergeCell ref="I2:N2"/>
    <mergeCell ref="C2:H2"/>
    <mergeCell ref="BW3:CB3"/>
    <mergeCell ref="T11:T17"/>
    <mergeCell ref="CI4:CN4"/>
    <mergeCell ref="AY2:BD2"/>
    <mergeCell ref="BE2:BJ2"/>
    <mergeCell ref="AF11:AF17"/>
    <mergeCell ref="BQ2:BV2"/>
    <mergeCell ref="CH11:CH17"/>
    <mergeCell ref="AM4:AR4"/>
    <mergeCell ref="AR11:AR17"/>
    <mergeCell ref="AA3:AF3"/>
    <mergeCell ref="AG3:AL3"/>
    <mergeCell ref="I4:N4"/>
    <mergeCell ref="CC3:CH3"/>
    <mergeCell ref="CI3:CN3"/>
    <mergeCell ref="BV11:BV17"/>
    <mergeCell ref="AA4:AF4"/>
    <mergeCell ref="AS4:AX4"/>
    <mergeCell ref="BW4:CB4"/>
    <mergeCell ref="U3:Z3"/>
    <mergeCell ref="BK3:BP3"/>
    <mergeCell ref="BQ3:BV3"/>
    <mergeCell ref="BP11:BP17"/>
    <mergeCell ref="O4:T4"/>
    <mergeCell ref="H11:H17"/>
    <mergeCell ref="I3:N3"/>
    <mergeCell ref="BK4:BP4"/>
    <mergeCell ref="BD11:BD17"/>
    <mergeCell ref="BJ11:BJ17"/>
    <mergeCell ref="N11:N17"/>
    <mergeCell ref="U2:Z2"/>
    <mergeCell ref="BQ4:BV4"/>
    <mergeCell ref="AG2:AL2"/>
    <mergeCell ref="BW2:CB2"/>
    <mergeCell ref="CI2:CN2"/>
    <mergeCell ref="CC4:CH4"/>
    <mergeCell ref="AS2:AX2"/>
    <mergeCell ref="CC2:CH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LƯƠNG </vt:lpstr>
      <vt:lpstr>B. GV- NVCH</vt:lpstr>
      <vt:lpstr>D. GV TT </vt:lpstr>
      <vt:lpstr>'LƯƠNG '!Print_Area</vt:lpstr>
      <vt:lpstr>'LƯƠNG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PRO</dc:creator>
  <cp:lastModifiedBy>Linh LPH</cp:lastModifiedBy>
  <cp:lastPrinted>2026-04-21T01:58:56Z</cp:lastPrinted>
  <dcterms:created xsi:type="dcterms:W3CDTF">2026-03-15T22:25:26Z</dcterms:created>
  <dcterms:modified xsi:type="dcterms:W3CDTF">2026-05-07T07:56:02Z</dcterms:modified>
</cp:coreProperties>
</file>