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AI\AI_giao_duc\Au-Viet-My\ChamCong_Project\"/>
    </mc:Choice>
  </mc:AlternateContent>
  <xr:revisionPtr revIDLastSave="0" documentId="13_ncr:1_{B795F679-03C4-4622-A71A-CA0CBA295295}" xr6:coauthVersionLast="47" xr6:coauthVersionMax="47" xr10:uidLastSave="{00000000-0000-0000-0000-000000000000}"/>
  <bookViews>
    <workbookView xWindow="-98" yWindow="-98" windowWidth="22695" windowHeight="14595" xr2:uid="{00000000-000D-0000-FFFF-FFFF00000000}"/>
  </bookViews>
  <sheets>
    <sheet name="FILE IN" sheetId="4" r:id="rId1"/>
  </sheets>
  <definedNames>
    <definedName name="_xlnm.Print_Area" localSheetId="0">'FILE IN'!$A$1:$U$71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4" l="1"/>
  <c r="E6" i="4" s="1"/>
  <c r="F6" i="4" s="1"/>
  <c r="H6" i="4" s="1"/>
  <c r="I6" i="4" s="1"/>
  <c r="K6" i="4" s="1"/>
  <c r="L6" i="4" s="1"/>
  <c r="N6" i="4" s="1"/>
  <c r="O6" i="4" s="1"/>
  <c r="Q6" i="4" s="1"/>
  <c r="H59" i="4" l="1"/>
  <c r="C27" i="4"/>
  <c r="L24" i="4"/>
  <c r="G40" i="4"/>
  <c r="O20" i="4"/>
  <c r="P23" i="4"/>
  <c r="D39" i="4"/>
  <c r="K10" i="4"/>
  <c r="L12" i="4"/>
  <c r="M33" i="4"/>
  <c r="O41" i="4"/>
  <c r="O51" i="4"/>
  <c r="L10" i="4"/>
  <c r="K24" i="4"/>
  <c r="I11" i="4"/>
  <c r="G35" i="4"/>
  <c r="M63" i="4"/>
  <c r="H64" i="4"/>
  <c r="N10" i="4"/>
  <c r="M48" i="4"/>
  <c r="M7" i="4"/>
  <c r="P43" i="4"/>
  <c r="G21" i="4"/>
  <c r="K19" i="4"/>
  <c r="C47" i="4"/>
  <c r="E45" i="4"/>
  <c r="Q32" i="4"/>
  <c r="E12" i="4"/>
  <c r="P30" i="4"/>
  <c r="F16" i="4"/>
  <c r="G58" i="4"/>
  <c r="L11" i="4"/>
  <c r="L36" i="4"/>
  <c r="G49" i="4"/>
  <c r="I43" i="4"/>
  <c r="Q10" i="4"/>
  <c r="Q58" i="4"/>
  <c r="N38" i="4"/>
  <c r="O36" i="4"/>
  <c r="J45" i="4"/>
  <c r="C48" i="4"/>
  <c r="C56" i="4"/>
  <c r="J57" i="4"/>
  <c r="G17" i="4"/>
  <c r="D40" i="4"/>
  <c r="L7" i="4"/>
  <c r="H37" i="4"/>
  <c r="M30" i="4"/>
  <c r="C18" i="4"/>
  <c r="L45" i="4"/>
  <c r="J14" i="4"/>
  <c r="Q41" i="4"/>
  <c r="D55" i="4"/>
  <c r="K60" i="4"/>
  <c r="O40" i="4"/>
  <c r="D60" i="4"/>
  <c r="P18" i="4"/>
  <c r="E54" i="4"/>
  <c r="H31" i="4"/>
  <c r="J11" i="4"/>
  <c r="C24" i="4"/>
  <c r="E46" i="4"/>
  <c r="L8" i="4"/>
  <c r="E62" i="4"/>
  <c r="O7" i="4"/>
  <c r="K52" i="4"/>
  <c r="P65" i="4"/>
  <c r="L41" i="4"/>
  <c r="M59" i="4"/>
  <c r="G33" i="4"/>
  <c r="I7" i="4"/>
  <c r="K53" i="4"/>
  <c r="C11" i="4"/>
  <c r="I44" i="4"/>
  <c r="Q11" i="4"/>
  <c r="I28" i="4"/>
  <c r="I51" i="4"/>
  <c r="I46" i="4"/>
  <c r="G63" i="4"/>
  <c r="N65" i="4"/>
  <c r="J39" i="4"/>
  <c r="M38" i="4"/>
  <c r="M61" i="4"/>
  <c r="N17" i="4"/>
  <c r="O60" i="4"/>
  <c r="D59" i="4"/>
  <c r="G27" i="4"/>
  <c r="I38" i="4"/>
  <c r="I14" i="4"/>
  <c r="N24" i="4"/>
  <c r="G7" i="4"/>
  <c r="M27" i="4"/>
  <c r="Q27" i="4"/>
  <c r="J59" i="4"/>
  <c r="L57" i="4"/>
  <c r="H14" i="4"/>
  <c r="O43" i="4"/>
  <c r="N31" i="4"/>
  <c r="O35" i="4"/>
  <c r="G26" i="4"/>
  <c r="P42" i="4"/>
  <c r="C53" i="4"/>
  <c r="Q47" i="4"/>
  <c r="D64" i="4"/>
  <c r="P38" i="4"/>
  <c r="M49" i="4"/>
  <c r="G38" i="4"/>
  <c r="C35" i="4"/>
  <c r="K36" i="4"/>
  <c r="G12" i="4"/>
  <c r="L19" i="4"/>
  <c r="H47" i="4"/>
  <c r="K61" i="4"/>
  <c r="F15" i="4"/>
  <c r="N35" i="4"/>
  <c r="C13" i="4"/>
  <c r="O53" i="4"/>
  <c r="N42" i="4"/>
  <c r="H39" i="4"/>
  <c r="G29" i="4"/>
  <c r="K21" i="4"/>
  <c r="K27" i="4"/>
  <c r="N59" i="4"/>
  <c r="C26" i="4"/>
  <c r="C32" i="4"/>
  <c r="N28" i="4"/>
  <c r="G16" i="4"/>
  <c r="Q37" i="4"/>
  <c r="J26" i="4"/>
  <c r="H60" i="4"/>
  <c r="K31" i="4"/>
  <c r="L16" i="4"/>
  <c r="O27" i="4"/>
  <c r="O25" i="4"/>
  <c r="Q53" i="4"/>
  <c r="J54" i="4"/>
  <c r="I24" i="4"/>
  <c r="P53" i="4"/>
  <c r="N53" i="4"/>
  <c r="M46" i="4"/>
  <c r="H53" i="4"/>
  <c r="M47" i="4"/>
  <c r="Q35" i="4"/>
  <c r="H50" i="4"/>
  <c r="N27" i="4"/>
  <c r="J40" i="4"/>
  <c r="F42" i="4"/>
  <c r="I49" i="4"/>
  <c r="P24" i="4"/>
  <c r="Q12" i="4"/>
  <c r="I41" i="4"/>
  <c r="P58" i="4"/>
  <c r="J22" i="4"/>
  <c r="K38" i="4"/>
  <c r="H20" i="4"/>
  <c r="L62" i="4"/>
  <c r="L48" i="4"/>
  <c r="C59" i="4"/>
  <c r="J51" i="4"/>
  <c r="L33" i="4"/>
  <c r="E64" i="4"/>
  <c r="P55" i="4"/>
  <c r="L58" i="4"/>
  <c r="J36" i="4"/>
  <c r="K35" i="4"/>
  <c r="J47" i="4"/>
  <c r="D15" i="4"/>
  <c r="Q30" i="4"/>
  <c r="P32" i="4"/>
  <c r="L18" i="4"/>
  <c r="P56" i="4"/>
  <c r="O59" i="4"/>
  <c r="J34" i="4"/>
  <c r="E44" i="4"/>
  <c r="N30" i="4"/>
  <c r="G53" i="4"/>
  <c r="K45" i="4"/>
  <c r="M39" i="4"/>
  <c r="K7" i="4"/>
  <c r="O15" i="4"/>
  <c r="C16" i="4"/>
  <c r="N8" i="4"/>
  <c r="M32" i="4"/>
  <c r="O47" i="4"/>
  <c r="I31" i="4"/>
  <c r="H61" i="4"/>
  <c r="G64" i="4"/>
  <c r="L64" i="4"/>
  <c r="P47" i="4"/>
  <c r="K59" i="4"/>
  <c r="O58" i="4"/>
  <c r="F41" i="4"/>
  <c r="N12" i="4"/>
  <c r="I36" i="4"/>
  <c r="K20" i="4"/>
  <c r="H33" i="4"/>
  <c r="L38" i="4"/>
  <c r="F51" i="4"/>
  <c r="M15" i="4"/>
  <c r="D61" i="4"/>
  <c r="Q48" i="4"/>
  <c r="J31" i="4"/>
  <c r="N63" i="4"/>
  <c r="O37" i="4"/>
  <c r="L51" i="4"/>
  <c r="J17" i="4"/>
  <c r="G22" i="4"/>
  <c r="P13" i="4"/>
  <c r="F8" i="4"/>
  <c r="J58" i="4"/>
  <c r="O52" i="4"/>
  <c r="F40" i="4"/>
  <c r="F47" i="4"/>
  <c r="L32" i="4"/>
  <c r="L55" i="4"/>
  <c r="C9" i="4"/>
  <c r="Q38" i="4"/>
  <c r="J9" i="4"/>
  <c r="Q46" i="4"/>
  <c r="E11" i="4"/>
  <c r="O57" i="4"/>
  <c r="N40" i="4"/>
  <c r="H28" i="4"/>
  <c r="O21" i="4"/>
  <c r="H36" i="4"/>
  <c r="D51" i="4"/>
  <c r="F45" i="4"/>
  <c r="M23" i="4"/>
  <c r="K33" i="4"/>
  <c r="Q23" i="4"/>
  <c r="F56" i="4"/>
  <c r="H22" i="4"/>
  <c r="O8" i="4"/>
  <c r="C64" i="4"/>
  <c r="G46" i="4"/>
  <c r="I17" i="4"/>
  <c r="Q7" i="4"/>
  <c r="G45" i="4"/>
  <c r="G15" i="4"/>
  <c r="P16" i="4"/>
  <c r="J55" i="4"/>
  <c r="O12" i="4"/>
  <c r="P46" i="4"/>
  <c r="D53" i="4"/>
  <c r="P40" i="4"/>
  <c r="F46" i="4"/>
  <c r="Q19" i="4"/>
  <c r="C54" i="4"/>
  <c r="G65" i="4"/>
  <c r="H44" i="4"/>
  <c r="E40" i="4"/>
  <c r="L17" i="4"/>
  <c r="I21" i="4"/>
  <c r="H34" i="4"/>
  <c r="E61" i="4"/>
  <c r="J20" i="4"/>
  <c r="G41" i="4"/>
  <c r="P28" i="4"/>
  <c r="J27" i="4"/>
  <c r="C41" i="4"/>
  <c r="C50" i="4"/>
  <c r="C57" i="4"/>
  <c r="J25" i="4"/>
  <c r="D56" i="4"/>
  <c r="C28" i="4"/>
  <c r="L13" i="4"/>
  <c r="N34" i="4"/>
  <c r="K17" i="4"/>
  <c r="K47" i="4"/>
  <c r="D10" i="4"/>
  <c r="G51" i="4"/>
  <c r="H56" i="4"/>
  <c r="M53" i="4"/>
  <c r="N11" i="4"/>
  <c r="K44" i="4"/>
  <c r="M56" i="4"/>
  <c r="E65" i="4"/>
  <c r="M19" i="4"/>
  <c r="I53" i="4"/>
  <c r="O29" i="4"/>
  <c r="P44" i="4"/>
  <c r="M26" i="4"/>
  <c r="J10" i="4"/>
  <c r="F50" i="4"/>
  <c r="N62" i="4"/>
  <c r="M12" i="4"/>
  <c r="G62" i="4"/>
  <c r="M24" i="4"/>
  <c r="Q24" i="4"/>
  <c r="K22" i="4"/>
  <c r="P54" i="4"/>
  <c r="P57" i="4"/>
  <c r="H49" i="4"/>
  <c r="C45" i="4"/>
  <c r="P9" i="4"/>
  <c r="D13" i="4"/>
  <c r="L63" i="4"/>
  <c r="H65" i="4"/>
  <c r="L14" i="4"/>
  <c r="P7" i="4"/>
  <c r="J28" i="4"/>
  <c r="J19" i="4"/>
  <c r="C36" i="4"/>
  <c r="Q33" i="4"/>
  <c r="H18" i="4"/>
  <c r="O63" i="4"/>
  <c r="D47" i="4"/>
  <c r="P11" i="4"/>
  <c r="J38" i="4"/>
  <c r="C63" i="4"/>
  <c r="O49" i="4"/>
  <c r="G32" i="4"/>
  <c r="N23" i="4"/>
  <c r="J29" i="4"/>
  <c r="I60" i="4"/>
  <c r="M37" i="4"/>
  <c r="C29" i="4"/>
  <c r="H15" i="4"/>
  <c r="F59" i="4"/>
  <c r="Q25" i="4"/>
  <c r="G14" i="4"/>
  <c r="L20" i="4"/>
  <c r="H45" i="4"/>
  <c r="G28" i="4"/>
  <c r="M16" i="4"/>
  <c r="F43" i="4"/>
  <c r="N21" i="4"/>
  <c r="P8" i="4"/>
  <c r="I63" i="4"/>
  <c r="P62" i="4"/>
  <c r="F7" i="4"/>
  <c r="D14" i="4"/>
  <c r="G60" i="4"/>
  <c r="M35" i="4"/>
  <c r="M29" i="4"/>
  <c r="I23" i="4"/>
  <c r="M34" i="4"/>
  <c r="F14" i="4"/>
  <c r="G61" i="4"/>
  <c r="K32" i="4"/>
  <c r="G20" i="4"/>
  <c r="N18" i="4"/>
  <c r="K58" i="4"/>
  <c r="G36" i="4"/>
  <c r="G13" i="4"/>
  <c r="F53" i="4"/>
  <c r="P26" i="4"/>
  <c r="O45" i="4"/>
  <c r="Q51" i="4"/>
  <c r="D58" i="4"/>
  <c r="O39" i="4"/>
  <c r="L25" i="4"/>
  <c r="K54" i="4"/>
  <c r="O22" i="4"/>
  <c r="M40" i="4"/>
  <c r="G18" i="4"/>
  <c r="N60" i="4"/>
  <c r="I30" i="4"/>
  <c r="D62" i="4"/>
  <c r="P45" i="4"/>
  <c r="L37" i="4"/>
  <c r="P39" i="4"/>
  <c r="L21" i="4"/>
  <c r="H12" i="4"/>
  <c r="I34" i="4"/>
  <c r="K11" i="4"/>
  <c r="H57" i="4"/>
  <c r="L47" i="4"/>
  <c r="H42" i="4"/>
  <c r="G9" i="4"/>
  <c r="O50" i="4"/>
  <c r="O44" i="4"/>
  <c r="J37" i="4"/>
  <c r="G37" i="4"/>
  <c r="H46" i="4"/>
  <c r="F65" i="4"/>
  <c r="C49" i="4"/>
  <c r="C60" i="4"/>
  <c r="E56" i="4"/>
  <c r="C52" i="4"/>
  <c r="H29" i="4"/>
  <c r="E58" i="4"/>
  <c r="O34" i="4"/>
  <c r="M64" i="4"/>
  <c r="Q52" i="4"/>
  <c r="E42" i="4"/>
  <c r="J65" i="4"/>
  <c r="Q44" i="4"/>
  <c r="K16" i="4"/>
  <c r="J33" i="4"/>
  <c r="N64" i="4"/>
  <c r="N37" i="4"/>
  <c r="P12" i="4"/>
  <c r="K46" i="4"/>
  <c r="P15" i="4"/>
  <c r="N61" i="4"/>
  <c r="K9" i="4"/>
  <c r="K8" i="4"/>
  <c r="C40" i="4"/>
  <c r="I56" i="4"/>
  <c r="N43" i="4"/>
  <c r="L15" i="4"/>
  <c r="H13" i="4"/>
  <c r="F44" i="4"/>
  <c r="N9" i="4"/>
  <c r="H16" i="4"/>
  <c r="H24" i="4"/>
  <c r="K18" i="4"/>
  <c r="F61" i="4"/>
  <c r="F12" i="4"/>
  <c r="G59" i="4"/>
  <c r="P14" i="4"/>
  <c r="J44" i="4"/>
  <c r="N56" i="4"/>
  <c r="Q17" i="4"/>
  <c r="I18" i="4"/>
  <c r="G43" i="4"/>
  <c r="K48" i="4"/>
  <c r="M14" i="4"/>
  <c r="H21" i="4"/>
  <c r="M9" i="4"/>
  <c r="L26" i="4"/>
  <c r="H32" i="4"/>
  <c r="O23" i="4"/>
  <c r="G31" i="4"/>
  <c r="G44" i="4"/>
  <c r="H62" i="4"/>
  <c r="C7" i="4"/>
  <c r="F57" i="4"/>
  <c r="P25" i="4"/>
  <c r="H52" i="4"/>
  <c r="K49" i="4"/>
  <c r="E13" i="4"/>
  <c r="O33" i="4"/>
  <c r="D48" i="4"/>
  <c r="C34" i="4"/>
  <c r="O38" i="4"/>
  <c r="P35" i="4"/>
  <c r="Q56" i="4"/>
  <c r="N25" i="4"/>
  <c r="D11" i="4"/>
  <c r="H48" i="4"/>
  <c r="I27" i="4"/>
  <c r="K43" i="4"/>
  <c r="N20" i="4"/>
  <c r="E55" i="4"/>
  <c r="N39" i="4"/>
  <c r="M52" i="4"/>
  <c r="D16" i="4"/>
  <c r="I45" i="4"/>
  <c r="L59" i="4"/>
  <c r="N55" i="4"/>
  <c r="E57" i="4"/>
  <c r="D44" i="4"/>
  <c r="I61" i="4"/>
  <c r="M50" i="4"/>
  <c r="N44" i="4"/>
  <c r="K51" i="4"/>
  <c r="H7" i="4"/>
  <c r="N50" i="4"/>
  <c r="J35" i="4"/>
  <c r="J49" i="4"/>
  <c r="M60" i="4"/>
  <c r="E52" i="4"/>
  <c r="L31" i="4"/>
  <c r="M41" i="4"/>
  <c r="F17" i="4"/>
  <c r="K13" i="4"/>
  <c r="L9" i="4"/>
  <c r="D52" i="4"/>
  <c r="L60" i="4"/>
  <c r="G47" i="4"/>
  <c r="G56" i="4"/>
  <c r="M25" i="4"/>
  <c r="Q61" i="4"/>
  <c r="F55" i="4"/>
  <c r="K55" i="4"/>
  <c r="N33" i="4"/>
  <c r="N19" i="4"/>
  <c r="M18" i="4"/>
  <c r="J16" i="4"/>
  <c r="C33" i="4"/>
  <c r="K57" i="4"/>
  <c r="J56" i="4"/>
  <c r="J53" i="4"/>
  <c r="H63" i="4"/>
  <c r="Q43" i="4"/>
  <c r="O46" i="4"/>
  <c r="L43" i="4"/>
  <c r="L44" i="4"/>
  <c r="C8" i="4"/>
  <c r="I35" i="4"/>
  <c r="C39" i="4"/>
  <c r="Q60" i="4"/>
  <c r="P31" i="4"/>
  <c r="O54" i="4"/>
  <c r="I48" i="4"/>
  <c r="M28" i="4"/>
  <c r="I20" i="4"/>
  <c r="Q36" i="4"/>
  <c r="L23" i="4"/>
  <c r="I52" i="4"/>
  <c r="I47" i="4"/>
  <c r="C51" i="4"/>
  <c r="D8" i="4"/>
  <c r="J42" i="4"/>
  <c r="E63" i="4"/>
  <c r="H51" i="4"/>
  <c r="H55" i="4"/>
  <c r="M10" i="4"/>
  <c r="L53" i="4"/>
  <c r="J46" i="4"/>
  <c r="D42" i="4"/>
  <c r="Q39" i="4"/>
  <c r="O28" i="4"/>
  <c r="J60" i="4"/>
  <c r="P36" i="4"/>
  <c r="C31" i="4"/>
  <c r="F60" i="4"/>
  <c r="I37" i="4"/>
  <c r="L54" i="4"/>
  <c r="H23" i="4"/>
  <c r="E48" i="4"/>
  <c r="J12" i="4"/>
  <c r="K65" i="4"/>
  <c r="P61" i="4"/>
  <c r="C25" i="4"/>
  <c r="Q14" i="4"/>
  <c r="C14" i="4"/>
  <c r="J8" i="4"/>
  <c r="J24" i="4"/>
  <c r="I9" i="4"/>
  <c r="O26" i="4"/>
  <c r="K39" i="4"/>
  <c r="F11" i="4"/>
  <c r="M22" i="4"/>
  <c r="F48" i="4"/>
  <c r="M58" i="4"/>
  <c r="D45" i="4"/>
  <c r="M55" i="4"/>
  <c r="P50" i="4"/>
  <c r="O14" i="4"/>
  <c r="K15" i="4"/>
  <c r="H40" i="4"/>
  <c r="I42" i="4"/>
  <c r="C43" i="4"/>
  <c r="P49" i="4"/>
  <c r="G8" i="4"/>
  <c r="H38" i="4"/>
  <c r="P22" i="4"/>
  <c r="O56" i="4"/>
  <c r="Q50" i="4"/>
  <c r="I33" i="4"/>
  <c r="K62" i="4"/>
  <c r="Q8" i="4"/>
  <c r="N51" i="4"/>
  <c r="N48" i="4"/>
  <c r="H26" i="4"/>
  <c r="C22" i="4"/>
  <c r="Q49" i="4"/>
  <c r="J43" i="4"/>
  <c r="I54" i="4"/>
  <c r="Q22" i="4"/>
  <c r="N57" i="4"/>
  <c r="I64" i="4"/>
  <c r="G50" i="4"/>
  <c r="Q28" i="4"/>
  <c r="J13" i="4"/>
  <c r="Q40" i="4"/>
  <c r="E9" i="4"/>
  <c r="D41" i="4"/>
  <c r="F9" i="4"/>
  <c r="J64" i="4"/>
  <c r="Q31" i="4"/>
  <c r="P48" i="4"/>
  <c r="H10" i="4"/>
  <c r="K29" i="4"/>
  <c r="O17" i="4"/>
  <c r="I25" i="4"/>
  <c r="N52" i="4"/>
  <c r="C20" i="4"/>
  <c r="C17" i="4"/>
  <c r="E7" i="4"/>
  <c r="H25" i="4"/>
  <c r="H30" i="4"/>
  <c r="J63" i="4"/>
  <c r="D43" i="4"/>
  <c r="G34" i="4"/>
  <c r="Q54" i="4"/>
  <c r="D57" i="4"/>
  <c r="Q9" i="4"/>
  <c r="O11" i="4"/>
  <c r="Q18" i="4"/>
  <c r="F13" i="4"/>
  <c r="I50" i="4"/>
  <c r="O18" i="4"/>
  <c r="H17" i="4"/>
  <c r="P34" i="4"/>
  <c r="F52" i="4"/>
  <c r="L35" i="4"/>
  <c r="Q29" i="4"/>
  <c r="E60" i="4"/>
  <c r="G25" i="4"/>
  <c r="O10" i="4"/>
  <c r="D54" i="4"/>
  <c r="C38" i="4"/>
  <c r="G55" i="4"/>
  <c r="G10" i="4"/>
  <c r="N29" i="4"/>
  <c r="I59" i="4"/>
  <c r="P21" i="4"/>
  <c r="E8" i="4"/>
  <c r="M20" i="4"/>
  <c r="H27" i="4"/>
  <c r="N13" i="4"/>
  <c r="C19" i="4"/>
  <c r="M51" i="4"/>
  <c r="G30" i="4"/>
  <c r="P17" i="4"/>
  <c r="I13" i="4"/>
  <c r="O48" i="4"/>
  <c r="Q62" i="4"/>
  <c r="I62" i="4"/>
  <c r="O9" i="4"/>
  <c r="L42" i="4"/>
  <c r="G54" i="4"/>
  <c r="M43" i="4"/>
  <c r="L30" i="4"/>
  <c r="O24" i="4"/>
  <c r="I65" i="4"/>
  <c r="L65" i="4"/>
  <c r="Q13" i="4"/>
  <c r="E53" i="4"/>
  <c r="J21" i="4"/>
  <c r="Q63" i="4"/>
  <c r="K25" i="4"/>
  <c r="K28" i="4"/>
  <c r="F10" i="4"/>
  <c r="D50" i="4"/>
  <c r="K56" i="4"/>
  <c r="M44" i="4"/>
  <c r="L61" i="4"/>
  <c r="L40" i="4"/>
  <c r="O30" i="4"/>
  <c r="G24" i="4"/>
  <c r="C21" i="4"/>
  <c r="G52" i="4"/>
  <c r="P41" i="4"/>
  <c r="P64" i="4"/>
  <c r="H35" i="4"/>
  <c r="Q34" i="4"/>
  <c r="N49" i="4"/>
  <c r="N26" i="4"/>
  <c r="P33" i="4"/>
  <c r="I8" i="4"/>
  <c r="O61" i="4"/>
  <c r="I55" i="4"/>
  <c r="C37" i="4"/>
  <c r="I58" i="4"/>
  <c r="I39" i="4"/>
  <c r="F39" i="4"/>
  <c r="I19" i="4"/>
  <c r="L56" i="4"/>
  <c r="C42" i="4"/>
  <c r="M13" i="4"/>
  <c r="Q16" i="4"/>
  <c r="C44" i="4"/>
  <c r="J15" i="4"/>
  <c r="E47" i="4"/>
  <c r="L50" i="4"/>
  <c r="L34" i="4"/>
  <c r="C61" i="4"/>
  <c r="M65" i="4"/>
  <c r="N36" i="4"/>
  <c r="L27" i="4"/>
  <c r="Q26" i="4"/>
  <c r="J41" i="4"/>
  <c r="J50" i="4"/>
  <c r="F64" i="4"/>
  <c r="Q55" i="4"/>
  <c r="F63" i="4"/>
  <c r="H9" i="4"/>
  <c r="J18" i="4"/>
  <c r="K41" i="4"/>
  <c r="H54" i="4"/>
  <c r="I12" i="4"/>
  <c r="J61" i="4"/>
  <c r="M21" i="4"/>
  <c r="G23" i="4"/>
  <c r="Q64" i="4"/>
  <c r="Q42" i="4"/>
  <c r="P37" i="4"/>
  <c r="J32" i="4"/>
  <c r="Q59" i="4"/>
  <c r="P60" i="4"/>
  <c r="C46" i="4"/>
  <c r="D7" i="4"/>
  <c r="M45" i="4"/>
  <c r="G11" i="4"/>
  <c r="C10" i="4"/>
  <c r="O32" i="4"/>
  <c r="I29" i="4"/>
  <c r="I32" i="4"/>
  <c r="K12" i="4"/>
  <c r="K30" i="4"/>
  <c r="K42" i="4"/>
  <c r="O65" i="4"/>
  <c r="D12" i="4"/>
  <c r="P52" i="4"/>
  <c r="K63" i="4"/>
  <c r="F49" i="4"/>
  <c r="F62" i="4"/>
  <c r="M54" i="4"/>
  <c r="I40" i="4"/>
  <c r="H8" i="4"/>
  <c r="Q65" i="4"/>
  <c r="H11" i="4"/>
  <c r="J30" i="4"/>
  <c r="C62" i="4"/>
  <c r="N15" i="4"/>
  <c r="P63" i="4"/>
  <c r="M11" i="4"/>
  <c r="J52" i="4"/>
  <c r="O64" i="4"/>
  <c r="I15" i="4"/>
  <c r="P20" i="4"/>
  <c r="K14" i="4"/>
  <c r="K34" i="4"/>
  <c r="L29" i="4"/>
  <c r="J48" i="4"/>
  <c r="J23" i="4"/>
  <c r="I22" i="4"/>
  <c r="E41" i="4"/>
  <c r="E10" i="4"/>
  <c r="H43" i="4"/>
  <c r="I16" i="4"/>
  <c r="K37" i="4"/>
  <c r="O42" i="4"/>
  <c r="H19" i="4"/>
  <c r="M57" i="4"/>
  <c r="L28" i="4"/>
  <c r="E50" i="4"/>
  <c r="M42" i="4"/>
  <c r="J62" i="4"/>
  <c r="L39" i="4"/>
  <c r="D46" i="4"/>
  <c r="Q20" i="4"/>
  <c r="N46" i="4"/>
  <c r="H58" i="4"/>
  <c r="O19" i="4"/>
  <c r="M17" i="4"/>
  <c r="G19" i="4"/>
  <c r="D9" i="4"/>
  <c r="N54" i="4"/>
  <c r="C58" i="4"/>
  <c r="E51" i="4"/>
  <c r="O16" i="4"/>
  <c r="E49" i="4"/>
  <c r="N45" i="4"/>
  <c r="C12" i="4"/>
  <c r="M62" i="4"/>
  <c r="K23" i="4"/>
  <c r="L49" i="4"/>
  <c r="N47" i="4"/>
  <c r="K26" i="4"/>
  <c r="E43" i="4"/>
  <c r="N16" i="4"/>
  <c r="N22" i="4"/>
  <c r="G57" i="4"/>
  <c r="O31" i="4"/>
  <c r="I10" i="4"/>
  <c r="P51" i="4"/>
  <c r="E59" i="4"/>
  <c r="N14" i="4"/>
  <c r="O55" i="4"/>
  <c r="P19" i="4"/>
  <c r="Q21" i="4"/>
  <c r="D49" i="4"/>
  <c r="P10" i="4"/>
  <c r="P59" i="4"/>
  <c r="O62" i="4"/>
  <c r="N7" i="4"/>
  <c r="M36" i="4"/>
  <c r="O13" i="4"/>
  <c r="Q57" i="4"/>
  <c r="M31" i="4"/>
  <c r="H41" i="4"/>
  <c r="P29" i="4"/>
  <c r="N58" i="4"/>
  <c r="C65" i="4"/>
  <c r="I57" i="4"/>
  <c r="Q45" i="4"/>
  <c r="N32" i="4"/>
  <c r="K64" i="4"/>
  <c r="D17" i="4"/>
  <c r="C23" i="4"/>
  <c r="I26" i="4"/>
  <c r="C55" i="4"/>
  <c r="D63" i="4"/>
  <c r="P27" i="4"/>
  <c r="L46" i="4"/>
  <c r="E39" i="4"/>
  <c r="F54" i="4"/>
  <c r="N41" i="4"/>
  <c r="L52" i="4"/>
  <c r="J7" i="4"/>
  <c r="D65" i="4"/>
  <c r="L22" i="4"/>
  <c r="C15" i="4"/>
  <c r="K50" i="4"/>
  <c r="C30" i="4"/>
  <c r="G42" i="4"/>
  <c r="G48" i="4"/>
  <c r="G39" i="4"/>
  <c r="M8" i="4"/>
  <c r="Q15" i="4"/>
  <c r="F58" i="4"/>
  <c r="S9" i="4" l="1"/>
  <c r="S13" i="4"/>
  <c r="S12" i="4"/>
  <c r="S10" i="4"/>
  <c r="S8" i="4"/>
  <c r="S7" i="4"/>
  <c r="S11" i="4"/>
  <c r="S22" i="4"/>
  <c r="S21" i="4"/>
  <c r="S17" i="4"/>
  <c r="S23" i="4"/>
  <c r="S19" i="4"/>
  <c r="S20" i="4"/>
  <c r="S18" i="4"/>
  <c r="S33" i="4"/>
  <c r="S28" i="4"/>
  <c r="S27" i="4"/>
  <c r="S31" i="4"/>
  <c r="S29" i="4"/>
  <c r="S32" i="4"/>
  <c r="S30" i="4"/>
  <c r="S49" i="4"/>
  <c r="S52" i="4"/>
  <c r="S47" i="4"/>
  <c r="S51" i="4"/>
  <c r="S48" i="4"/>
  <c r="S50" i="4"/>
  <c r="S53" i="4"/>
  <c r="S39" i="4"/>
  <c r="S42" i="4"/>
  <c r="S38" i="4"/>
  <c r="S41" i="4"/>
  <c r="S40" i="4"/>
  <c r="S43" i="4"/>
  <c r="S37" i="4"/>
  <c r="F67" i="4" l="1"/>
  <c r="U20" i="4"/>
  <c r="U10" i="4"/>
  <c r="U30" i="4"/>
  <c r="H67" i="4"/>
  <c r="E67" i="4"/>
  <c r="R67" i="4"/>
  <c r="L67" i="4"/>
  <c r="U40" i="4"/>
  <c r="I67" i="4"/>
  <c r="C67" i="4"/>
  <c r="U58" i="4" l="1"/>
  <c r="B67" i="4"/>
</calcChain>
</file>

<file path=xl/sharedStrings.xml><?xml version="1.0" encoding="utf-8"?>
<sst xmlns="http://schemas.openxmlformats.org/spreadsheetml/2006/main" count="79" uniqueCount="44">
  <si>
    <t>THỨ 2</t>
  </si>
  <si>
    <t>THỨ 3</t>
  </si>
  <si>
    <t>THỨ 4</t>
  </si>
  <si>
    <t>THỨ 5</t>
  </si>
  <si>
    <t>THỨ 6</t>
  </si>
  <si>
    <t>THỨ 7</t>
  </si>
  <si>
    <t>TRƯỜNG TH-THCS-THPT</t>
  </si>
  <si>
    <t>BẢNG CHẤM CÔNG LƯƠNG GIÁO VIÊN</t>
  </si>
  <si>
    <t xml:space="preserve">THÁNG </t>
  </si>
  <si>
    <t>THỜI GIAN</t>
  </si>
  <si>
    <t>TUẦN 1</t>
  </si>
  <si>
    <t>TUẦN 2</t>
  </si>
  <si>
    <t>TUẦN 3</t>
  </si>
  <si>
    <t>TUẦN 4</t>
  </si>
  <si>
    <t>TUẦN 5</t>
  </si>
  <si>
    <t>Thứ</t>
  </si>
  <si>
    <t>Tiết</t>
  </si>
  <si>
    <t>TỔNG</t>
  </si>
  <si>
    <t>L9</t>
  </si>
  <si>
    <t>L10, 11</t>
  </si>
  <si>
    <t>L12</t>
  </si>
  <si>
    <t>Giáo viên bộ môn ký tên</t>
  </si>
  <si>
    <t>GHI CHÚ</t>
  </si>
  <si>
    <t>Giáo viên:</t>
  </si>
  <si>
    <t>TH</t>
  </si>
  <si>
    <t>L8</t>
  </si>
  <si>
    <t>L7</t>
  </si>
  <si>
    <t>L6</t>
  </si>
  <si>
    <t>NGUYỄN HOÀNG MINH</t>
  </si>
  <si>
    <t>ÂU VIỆT MỸ</t>
  </si>
  <si>
    <t>Tuần 1</t>
  </si>
  <si>
    <t>lớp 8</t>
  </si>
  <si>
    <t>Lớp 6</t>
  </si>
  <si>
    <t>Lớp 7</t>
  </si>
  <si>
    <t>Lớp 9</t>
  </si>
  <si>
    <t>Lớp 10</t>
  </si>
  <si>
    <t>Lớp 11</t>
  </si>
  <si>
    <t>Lớp 12</t>
  </si>
  <si>
    <t>TỔNG SỐ TIẾT</t>
  </si>
  <si>
    <t>SỐ TIẾT</t>
  </si>
  <si>
    <t>TỔNG SỐ TIẾT TRONG THÁNG</t>
  </si>
  <si>
    <t>Lớp 8</t>
  </si>
  <si>
    <t>Xác nhận kế toán</t>
  </si>
  <si>
    <t>Xác 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</si>
</sst>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"/>
  </numFmts>
  <fonts count="23" x14ac:knownFonts="1">
    <font>
      <sz val="11"/>
      <color theme="1"/>
      <name val="Arial"/>
      <family val="2"/>
      <scheme val="minor"/>
    </font>
    <font>
      <b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indexed="8"/>
      <name val="Arial"/>
      <family val="2"/>
    </font>
    <font>
      <b/>
      <sz val="9"/>
      <name val="Times New Roman"/>
      <family val="1"/>
    </font>
    <font>
      <b/>
      <sz val="10"/>
      <name val="Times New Roman"/>
      <family val="1"/>
    </font>
    <font>
      <b/>
      <sz val="10"/>
      <color theme="0"/>
      <name val="Times New Roman"/>
      <family val="1"/>
    </font>
    <font>
      <b/>
      <u/>
      <sz val="9"/>
      <color theme="1"/>
      <name val="Arial"/>
      <family val="2"/>
      <scheme val="minor"/>
    </font>
    <font>
      <b/>
      <sz val="11"/>
      <color theme="1"/>
      <name val="Times New Roman"/>
      <family val="1"/>
    </font>
    <font>
      <sz val="9"/>
      <color theme="1"/>
      <name val="Arial"/>
      <family val="2"/>
      <scheme val="minor"/>
    </font>
    <font>
      <b/>
      <sz val="9"/>
      <color theme="0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6"/>
      <color rgb="FF141414"/>
      <name val="Times New Roman"/>
      <family val="1"/>
    </font>
    <font>
      <sz val="6"/>
      <name val="Times New Roman"/>
      <family val="1"/>
    </font>
    <font>
      <b/>
      <sz val="9"/>
      <color theme="1"/>
      <name val="Arial"/>
      <family val="2"/>
      <scheme val="minor"/>
    </font>
    <font>
      <b/>
      <sz val="6"/>
      <name val="Times New Roman"/>
      <family val="1"/>
    </font>
    <font>
      <b/>
      <sz val="18"/>
      <color theme="1"/>
      <name val="Arial"/>
      <family val="2"/>
      <scheme val="minor"/>
    </font>
    <font>
      <b/>
      <sz val="20"/>
      <color rgb="FFFF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8"/>
      <color theme="3"/>
      <name val="Arial"/>
      <family val="2"/>
      <scheme val="minor"/>
    </font>
    <font>
      <b/>
      <sz val="8"/>
      <color theme="1"/>
      <name val="Arial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B0EA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3" fillId="0" borderId="0"/>
  </cellStyleXfs>
  <cellXfs count="142">
    <xf numFmtId="0" fontId="0" fillId="0" borderId="0" xfId="0"/>
    <xf numFmtId="0" fontId="9" fillId="8" borderId="8" xfId="0" applyFont="1" applyFill="1" applyBorder="1"/>
    <xf numFmtId="0" fontId="9" fillId="8" borderId="7" xfId="0" applyFont="1" applyFill="1" applyBorder="1"/>
    <xf numFmtId="0" fontId="9" fillId="8" borderId="7" xfId="0" applyFont="1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7" xfId="0" applyFill="1" applyBorder="1" applyAlignment="1">
      <alignment horizontal="center" vertical="center"/>
    </xf>
    <xf numFmtId="0" fontId="0" fillId="8" borderId="9" xfId="0" applyFill="1" applyBorder="1"/>
    <xf numFmtId="0" fontId="9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8" fillId="8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8" fillId="2" borderId="11" xfId="0" applyFont="1" applyFill="1" applyBorder="1" applyAlignment="1">
      <alignment vertical="center"/>
    </xf>
    <xf numFmtId="0" fontId="2" fillId="8" borderId="10" xfId="0" applyFont="1" applyFill="1" applyBorder="1" applyAlignment="1">
      <alignment vertical="center"/>
    </xf>
    <xf numFmtId="0" fontId="2" fillId="8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8" borderId="11" xfId="0" applyFill="1" applyBorder="1"/>
    <xf numFmtId="14" fontId="20" fillId="0" borderId="0" xfId="0" applyNumberFormat="1" applyFont="1"/>
    <xf numFmtId="0" fontId="20" fillId="0" borderId="0" xfId="0" applyFont="1"/>
    <xf numFmtId="0" fontId="6" fillId="6" borderId="12" xfId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4" fontId="14" fillId="3" borderId="1" xfId="0" applyNumberFormat="1" applyFont="1" applyFill="1" applyBorder="1" applyAlignment="1">
      <alignment horizontal="center" vertical="center"/>
    </xf>
    <xf numFmtId="164" fontId="14" fillId="6" borderId="1" xfId="0" applyNumberFormat="1" applyFont="1" applyFill="1" applyBorder="1" applyAlignment="1">
      <alignment horizontal="center" vertical="center"/>
    </xf>
    <xf numFmtId="164" fontId="14" fillId="5" borderId="1" xfId="0" applyNumberFormat="1" applyFont="1" applyFill="1" applyBorder="1" applyAlignment="1">
      <alignment horizontal="center" vertical="center"/>
    </xf>
    <xf numFmtId="164" fontId="15" fillId="3" borderId="1" xfId="0" applyNumberFormat="1" applyFont="1" applyFill="1" applyBorder="1" applyAlignment="1">
      <alignment horizontal="center" vertical="center"/>
    </xf>
    <xf numFmtId="164" fontId="15" fillId="6" borderId="1" xfId="0" applyNumberFormat="1" applyFont="1" applyFill="1" applyBorder="1" applyAlignment="1">
      <alignment horizontal="center" vertical="center"/>
    </xf>
    <xf numFmtId="164" fontId="15" fillId="5" borderId="1" xfId="0" applyNumberFormat="1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vertical="center"/>
    </xf>
    <xf numFmtId="0" fontId="17" fillId="10" borderId="4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shrinkToFit="1"/>
    </xf>
    <xf numFmtId="0" fontId="5" fillId="19" borderId="5" xfId="0" applyFont="1" applyFill="1" applyBorder="1" applyAlignment="1">
      <alignment vertical="center" shrinkToFit="1"/>
    </xf>
    <xf numFmtId="0" fontId="5" fillId="2" borderId="6" xfId="0" applyFont="1" applyFill="1" applyBorder="1" applyAlignment="1">
      <alignment horizontal="center" vertical="center" shrinkToFit="1"/>
    </xf>
    <xf numFmtId="0" fontId="5" fillId="19" borderId="9" xfId="0" applyFont="1" applyFill="1" applyBorder="1" applyAlignment="1">
      <alignment vertical="center" shrinkToFit="1"/>
    </xf>
    <xf numFmtId="0" fontId="16" fillId="11" borderId="28" xfId="0" applyFont="1" applyFill="1" applyBorder="1" applyAlignment="1">
      <alignment horizontal="center" vertical="center"/>
    </xf>
    <xf numFmtId="0" fontId="5" fillId="19" borderId="12" xfId="0" applyFont="1" applyFill="1" applyBorder="1" applyAlignment="1">
      <alignment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5" fillId="19" borderId="11" xfId="0" applyFont="1" applyFill="1" applyBorder="1" applyAlignment="1">
      <alignment vertical="center" shrinkToFit="1"/>
    </xf>
    <xf numFmtId="0" fontId="16" fillId="11" borderId="28" xfId="0" applyFont="1" applyFill="1" applyBorder="1" applyAlignment="1">
      <alignment vertical="center"/>
    </xf>
    <xf numFmtId="0" fontId="16" fillId="0" borderId="28" xfId="0" applyFont="1" applyBorder="1" applyAlignment="1">
      <alignment horizontal="center"/>
    </xf>
    <xf numFmtId="0" fontId="5" fillId="15" borderId="1" xfId="0" applyFont="1" applyFill="1" applyBorder="1" applyAlignment="1">
      <alignment horizontal="center" vertical="center"/>
    </xf>
    <xf numFmtId="0" fontId="5" fillId="19" borderId="10" xfId="0" applyFont="1" applyFill="1" applyBorder="1" applyAlignment="1">
      <alignment vertical="center" shrinkToFit="1"/>
    </xf>
    <xf numFmtId="0" fontId="5" fillId="19" borderId="0" xfId="0" applyFont="1" applyFill="1" applyAlignment="1">
      <alignment horizontal="center" vertical="center" shrinkToFit="1"/>
    </xf>
    <xf numFmtId="0" fontId="6" fillId="2" borderId="12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19" borderId="17" xfId="0" applyFont="1" applyFill="1" applyBorder="1" applyAlignment="1">
      <alignment horizontal="center" vertical="center" shrinkToFit="1"/>
    </xf>
    <xf numFmtId="0" fontId="5" fillId="19" borderId="18" xfId="0" applyFont="1" applyFill="1" applyBorder="1" applyAlignment="1">
      <alignment horizontal="center" vertical="center" shrinkToFit="1"/>
    </xf>
    <xf numFmtId="0" fontId="5" fillId="19" borderId="19" xfId="0" applyFont="1" applyFill="1" applyBorder="1" applyAlignment="1">
      <alignment horizontal="center" vertical="center" shrinkToFit="1"/>
    </xf>
    <xf numFmtId="0" fontId="0" fillId="2" borderId="0" xfId="0" applyFill="1"/>
    <xf numFmtId="0" fontId="5" fillId="13" borderId="1" xfId="0" applyFont="1" applyFill="1" applyBorder="1" applyAlignment="1">
      <alignment horizontal="center" vertical="center"/>
    </xf>
    <xf numFmtId="0" fontId="22" fillId="0" borderId="11" xfId="0" applyFont="1" applyBorder="1" applyAlignment="1">
      <alignment horizontal="center"/>
    </xf>
    <xf numFmtId="0" fontId="10" fillId="15" borderId="0" xfId="0" applyFont="1" applyFill="1" applyAlignment="1">
      <alignment vertical="center"/>
    </xf>
    <xf numFmtId="0" fontId="11" fillId="15" borderId="1" xfId="0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5" fillId="19" borderId="17" xfId="0" applyFont="1" applyFill="1" applyBorder="1" applyAlignment="1">
      <alignment vertical="center" shrinkToFit="1"/>
    </xf>
    <xf numFmtId="0" fontId="5" fillId="19" borderId="19" xfId="0" applyFont="1" applyFill="1" applyBorder="1" applyAlignment="1">
      <alignment vertical="center" shrinkToFit="1"/>
    </xf>
    <xf numFmtId="0" fontId="6" fillId="3" borderId="10" xfId="1" applyFont="1" applyFill="1" applyBorder="1" applyAlignment="1">
      <alignment horizontal="center" vertical="center"/>
    </xf>
    <xf numFmtId="0" fontId="6" fillId="12" borderId="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shrinkToFit="1"/>
    </xf>
    <xf numFmtId="0" fontId="6" fillId="3" borderId="2" xfId="0" applyFont="1" applyFill="1" applyBorder="1" applyAlignment="1">
      <alignment horizontal="center" vertical="center" shrinkToFit="1"/>
    </xf>
    <xf numFmtId="0" fontId="6" fillId="11" borderId="2" xfId="0" applyFont="1" applyFill="1" applyBorder="1" applyAlignment="1">
      <alignment horizontal="center" vertical="center" shrinkToFit="1"/>
    </xf>
    <xf numFmtId="0" fontId="5" fillId="4" borderId="2" xfId="0" applyFont="1" applyFill="1" applyBorder="1" applyAlignment="1">
      <alignment horizontal="center" vertical="center" shrinkToFit="1"/>
    </xf>
    <xf numFmtId="0" fontId="5" fillId="4" borderId="25" xfId="0" applyFont="1" applyFill="1" applyBorder="1" applyAlignment="1">
      <alignment horizontal="center" vertical="center" shrinkToFit="1"/>
    </xf>
    <xf numFmtId="0" fontId="5" fillId="16" borderId="3" xfId="0" applyFont="1" applyFill="1" applyBorder="1" applyAlignment="1">
      <alignment horizontal="center" vertical="center" shrinkToFit="1"/>
    </xf>
    <xf numFmtId="0" fontId="6" fillId="6" borderId="6" xfId="0" applyFont="1" applyFill="1" applyBorder="1" applyAlignment="1">
      <alignment horizontal="center" vertical="center" shrinkToFit="1"/>
    </xf>
    <xf numFmtId="0" fontId="6" fillId="3" borderId="6" xfId="0" applyFont="1" applyFill="1" applyBorder="1" applyAlignment="1">
      <alignment horizontal="center" vertical="center" shrinkToFit="1"/>
    </xf>
    <xf numFmtId="0" fontId="0" fillId="0" borderId="13" xfId="0" applyBorder="1"/>
    <xf numFmtId="0" fontId="7" fillId="14" borderId="1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shrinkToFit="1"/>
    </xf>
    <xf numFmtId="0" fontId="6" fillId="0" borderId="26" xfId="0" applyFont="1" applyBorder="1" applyAlignment="1">
      <alignment horizontal="center" shrinkToFit="1"/>
    </xf>
    <xf numFmtId="0" fontId="6" fillId="0" borderId="2" xfId="0" applyFont="1" applyBorder="1" applyAlignment="1">
      <alignment horizontal="center" vertical="center" shrinkToFit="1"/>
    </xf>
    <xf numFmtId="0" fontId="0" fillId="0" borderId="10" xfId="0" applyBorder="1"/>
    <xf numFmtId="0" fontId="0" fillId="0" borderId="0" xfId="0" applyAlignment="1">
      <alignment horizont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0" fillId="0" borderId="11" xfId="0" applyBorder="1"/>
    <xf numFmtId="0" fontId="0" fillId="0" borderId="33" xfId="0" applyBorder="1"/>
    <xf numFmtId="0" fontId="0" fillId="0" borderId="31" xfId="0" applyBorder="1"/>
    <xf numFmtId="0" fontId="0" fillId="0" borderId="31" xfId="0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9" xfId="0" applyBorder="1"/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6" fillId="4" borderId="23" xfId="0" applyFont="1" applyFill="1" applyBorder="1" applyAlignment="1">
      <alignment horizontal="center" vertical="center" shrinkToFit="1"/>
    </xf>
    <xf numFmtId="0" fontId="6" fillId="4" borderId="27" xfId="0" applyFont="1" applyFill="1" applyBorder="1" applyAlignment="1">
      <alignment horizontal="center" vertical="center" shrinkToFit="1"/>
    </xf>
    <xf numFmtId="0" fontId="6" fillId="4" borderId="24" xfId="0" applyFont="1" applyFill="1" applyBorder="1" applyAlignment="1">
      <alignment horizontal="center" vertical="center" shrinkToFit="1"/>
    </xf>
    <xf numFmtId="0" fontId="6" fillId="6" borderId="23" xfId="0" applyFont="1" applyFill="1" applyBorder="1" applyAlignment="1">
      <alignment horizontal="center" vertical="center" shrinkToFit="1"/>
    </xf>
    <xf numFmtId="0" fontId="6" fillId="6" borderId="27" xfId="0" applyFont="1" applyFill="1" applyBorder="1" applyAlignment="1">
      <alignment horizontal="center" vertical="center" shrinkToFit="1"/>
    </xf>
    <xf numFmtId="0" fontId="6" fillId="6" borderId="24" xfId="0" applyFont="1" applyFill="1" applyBorder="1" applyAlignment="1">
      <alignment horizontal="center" vertical="center" shrinkToFit="1"/>
    </xf>
    <xf numFmtId="0" fontId="6" fillId="14" borderId="30" xfId="0" applyFont="1" applyFill="1" applyBorder="1" applyAlignment="1">
      <alignment horizontal="center" vertical="center" shrinkToFit="1"/>
    </xf>
    <xf numFmtId="0" fontId="6" fillId="14" borderId="31" xfId="0" applyFont="1" applyFill="1" applyBorder="1" applyAlignment="1">
      <alignment horizontal="center" vertical="center" shrinkToFit="1"/>
    </xf>
    <xf numFmtId="0" fontId="6" fillId="14" borderId="32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0" fontId="6" fillId="0" borderId="25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0" fillId="0" borderId="31" xfId="0" applyBorder="1" applyAlignment="1">
      <alignment horizontal="center"/>
    </xf>
    <xf numFmtId="0" fontId="0" fillId="0" borderId="34" xfId="0" applyBorder="1" applyAlignment="1">
      <alignment horizontal="center"/>
    </xf>
    <xf numFmtId="0" fontId="18" fillId="18" borderId="28" xfId="0" applyFont="1" applyFill="1" applyBorder="1" applyAlignment="1">
      <alignment horizontal="center" vertical="center"/>
    </xf>
    <xf numFmtId="0" fontId="18" fillId="18" borderId="29" xfId="0" applyFont="1" applyFill="1" applyBorder="1" applyAlignment="1">
      <alignment horizontal="center" vertical="center"/>
    </xf>
    <xf numFmtId="0" fontId="22" fillId="11" borderId="9" xfId="0" applyFont="1" applyFill="1" applyBorder="1" applyAlignment="1">
      <alignment horizontal="center" vertical="center"/>
    </xf>
    <xf numFmtId="0" fontId="22" fillId="11" borderId="11" xfId="0" applyFont="1" applyFill="1" applyBorder="1" applyAlignment="1">
      <alignment horizontal="center" vertical="center"/>
    </xf>
    <xf numFmtId="0" fontId="6" fillId="6" borderId="12" xfId="1" applyFont="1" applyFill="1" applyBorder="1" applyAlignment="1">
      <alignment horizontal="center" vertical="center"/>
    </xf>
    <xf numFmtId="0" fontId="6" fillId="9" borderId="12" xfId="1" applyFont="1" applyFill="1" applyBorder="1" applyAlignment="1">
      <alignment horizontal="center" vertical="center"/>
    </xf>
    <xf numFmtId="0" fontId="6" fillId="12" borderId="14" xfId="1" applyFont="1" applyFill="1" applyBorder="1" applyAlignment="1">
      <alignment horizontal="center" vertical="center"/>
    </xf>
    <xf numFmtId="0" fontId="6" fillId="12" borderId="15" xfId="1" applyFont="1" applyFill="1" applyBorder="1" applyAlignment="1">
      <alignment horizontal="center" vertical="center"/>
    </xf>
    <xf numFmtId="0" fontId="6" fillId="12" borderId="16" xfId="1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6" fillId="9" borderId="14" xfId="1" applyFont="1" applyFill="1" applyBorder="1" applyAlignment="1">
      <alignment horizontal="center" vertical="center"/>
    </xf>
    <xf numFmtId="0" fontId="6" fillId="9" borderId="15" xfId="1" applyFont="1" applyFill="1" applyBorder="1" applyAlignment="1">
      <alignment horizontal="center" vertical="center"/>
    </xf>
    <xf numFmtId="0" fontId="6" fillId="9" borderId="16" xfId="1" applyFont="1" applyFill="1" applyBorder="1" applyAlignment="1">
      <alignment horizontal="center" vertical="center"/>
    </xf>
    <xf numFmtId="0" fontId="19" fillId="8" borderId="28" xfId="0" applyFont="1" applyFill="1" applyBorder="1" applyAlignment="1">
      <alignment horizontal="center" vertical="center"/>
    </xf>
    <xf numFmtId="0" fontId="19" fillId="8" borderId="29" xfId="0" applyFont="1" applyFill="1" applyBorder="1" applyAlignment="1">
      <alignment horizontal="center" vertical="center"/>
    </xf>
    <xf numFmtId="0" fontId="21" fillId="17" borderId="8" xfId="0" applyFont="1" applyFill="1" applyBorder="1" applyAlignment="1">
      <alignment horizontal="center" vertical="center"/>
    </xf>
    <xf numFmtId="0" fontId="21" fillId="17" borderId="7" xfId="0" applyFont="1" applyFill="1" applyBorder="1" applyAlignment="1">
      <alignment horizontal="center" vertical="center"/>
    </xf>
    <xf numFmtId="0" fontId="21" fillId="17" borderId="9" xfId="0" applyFont="1" applyFill="1" applyBorder="1" applyAlignment="1">
      <alignment horizontal="center" vertical="center"/>
    </xf>
    <xf numFmtId="0" fontId="21" fillId="17" borderId="10" xfId="0" applyFont="1" applyFill="1" applyBorder="1" applyAlignment="1">
      <alignment horizontal="center" vertical="center"/>
    </xf>
    <xf numFmtId="0" fontId="21" fillId="17" borderId="0" xfId="0" applyFont="1" applyFill="1" applyAlignment="1">
      <alignment horizontal="center" vertical="center"/>
    </xf>
    <xf numFmtId="0" fontId="21" fillId="17" borderId="1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3" fillId="7" borderId="31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/>
    </xf>
    <xf numFmtId="0" fontId="9" fillId="8" borderId="0" xfId="0" applyFont="1" applyFill="1" applyAlignment="1">
      <alignment horizontal="center"/>
    </xf>
  </cellXfs>
  <cellStyles count="3">
    <cellStyle name="Normal" xfId="0" builtinId="0"/>
    <cellStyle name="Normal 2" xfId="2" xr:uid="{00000000-0005-0000-0000-000001000000}"/>
    <cellStyle name="Normal_NGUYỄN THỊ BÉ CHÍNH" xfId="1" xr:uid="{00000000-0005-0000-0000-000002000000}"/>
  </cellStyles>
  <dxfs count="0"/>
  <tableStyles count="0" defaultTableStyle="TableStyleMedium2" defaultPivotStyle="PivotStyleLight16"/>
  <colors>
    <mruColors>
      <color rgb="FFF4B0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552449</xdr:colOff>
      <xdr:row>2</xdr:row>
      <xdr:rowOff>0</xdr:rowOff>
    </xdr:from>
    <xdr:to>
      <xdr:col>1</xdr:col>
      <xdr:colOff>243840</xdr:colOff>
      <xdr:row>3</xdr:row>
      <xdr:rowOff>127588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49" y="365760"/>
          <a:ext cx="308611" cy="3485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72"/>
  <sheetViews>
    <sheetView tabSelected="1" zoomScaleNormal="100" workbookViewId="0">
      <selection activeCell="X62" sqref="X62"/>
    </sheetView>
  </sheetViews>
  <sheetFormatPr defaultColWidth="9" defaultRowHeight="13.5" x14ac:dyDescent="0.35"/>
  <cols>
    <col min="3" max="17" width="4.125" style="77" customWidth="1"/>
    <col min="18" max="18" width="5.25" style="77" customWidth="1"/>
    <col min="19" max="19" width="4.3125" style="79" customWidth="1"/>
    <col min="20" max="20" width="0.3125" style="77" customWidth="1"/>
    <col min="21" max="21" width="11.4375" customWidth="1"/>
    <col min="22" max="22" width="0" hidden="1" customWidth="1"/>
    <col min="23" max="23" width="11.25" customWidth="1"/>
    <col min="25" max="25" width="14.25" customWidth="1"/>
  </cols>
  <sheetData>
    <row r="1" spans="1:25" x14ac:dyDescent="0.35">
      <c r="A1" s="1" t="s">
        <v>6</v>
      </c>
      <c r="B1" s="2"/>
      <c r="C1" s="2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4"/>
      <c r="U1" s="6"/>
    </row>
    <row r="2" spans="1:25" x14ac:dyDescent="0.35">
      <c r="A2" s="140" t="s">
        <v>29</v>
      </c>
      <c r="B2" s="141"/>
      <c r="C2" s="141"/>
      <c r="D2" s="7"/>
      <c r="E2" s="7"/>
      <c r="F2" s="8"/>
      <c r="G2" s="8"/>
      <c r="H2" s="8"/>
      <c r="I2" s="8"/>
      <c r="J2" s="8"/>
      <c r="K2" s="8"/>
      <c r="L2" s="9" t="s">
        <v>23</v>
      </c>
      <c r="M2" s="9"/>
      <c r="N2" s="128"/>
      <c r="O2" s="128"/>
      <c r="P2" s="128"/>
      <c r="Q2" s="129"/>
      <c r="R2" s="129"/>
      <c r="S2" s="129"/>
      <c r="T2" s="10"/>
      <c r="U2" s="11"/>
    </row>
    <row r="3" spans="1:25" ht="17.25" x14ac:dyDescent="0.35">
      <c r="A3" s="130" t="s">
        <v>7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2"/>
    </row>
    <row r="4" spans="1:25" ht="15.4" x14ac:dyDescent="0.35">
      <c r="A4" s="12"/>
      <c r="B4" s="1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5"/>
      <c r="P4" s="15"/>
      <c r="Q4" s="16" t="s">
        <v>8</v>
      </c>
      <c r="R4" s="16"/>
      <c r="S4" s="139">
        <v>3</v>
      </c>
      <c r="T4" s="139"/>
      <c r="U4" s="17"/>
      <c r="W4" s="18"/>
    </row>
    <row r="5" spans="1:25" ht="15" x14ac:dyDescent="0.35">
      <c r="A5" s="133" t="s">
        <v>9</v>
      </c>
      <c r="B5" s="134"/>
      <c r="C5" s="135" t="s">
        <v>10</v>
      </c>
      <c r="D5" s="135"/>
      <c r="E5" s="135"/>
      <c r="F5" s="135" t="s">
        <v>11</v>
      </c>
      <c r="G5" s="135"/>
      <c r="H5" s="135"/>
      <c r="I5" s="135" t="s">
        <v>12</v>
      </c>
      <c r="J5" s="135"/>
      <c r="K5" s="135"/>
      <c r="L5" s="135" t="s">
        <v>13</v>
      </c>
      <c r="M5" s="135"/>
      <c r="N5" s="135"/>
      <c r="O5" s="135" t="s">
        <v>14</v>
      </c>
      <c r="P5" s="135"/>
      <c r="Q5" s="135"/>
      <c r="R5" s="136" t="s">
        <v>22</v>
      </c>
      <c r="S5" s="137"/>
      <c r="T5" s="137"/>
      <c r="U5" s="138"/>
      <c r="W5" s="19"/>
    </row>
    <row r="6" spans="1:25" ht="11.25" customHeight="1" thickBot="1" x14ac:dyDescent="0.4">
      <c r="A6" s="20" t="s">
        <v>15</v>
      </c>
      <c r="B6" s="21" t="s">
        <v>16</v>
      </c>
      <c r="C6" s="22">
        <f>IF(W5="CN",W4+1,W4)</f>
        <v>0</v>
      </c>
      <c r="D6" s="23"/>
      <c r="E6" s="24">
        <f>IF($W$5="CN",$C$6+5,IF($W$5="T2",$C$6+5,IF($W$5="T3",$C$6+4,IF($W$5="T4",$C$6+3,IF($W$5="T5",$C$6+2,IF($W$5="T6",$C$6+1,$C$6))))))</f>
        <v>0</v>
      </c>
      <c r="F6" s="25">
        <f>E6+2</f>
        <v>2</v>
      </c>
      <c r="G6" s="26"/>
      <c r="H6" s="27">
        <f>F6+5</f>
        <v>7</v>
      </c>
      <c r="I6" s="25">
        <f>H6+2</f>
        <v>9</v>
      </c>
      <c r="J6" s="26"/>
      <c r="K6" s="27">
        <f>I6+5</f>
        <v>14</v>
      </c>
      <c r="L6" s="25">
        <f>K6+2</f>
        <v>16</v>
      </c>
      <c r="M6" s="26"/>
      <c r="N6" s="27">
        <f>IF(L6+5&gt;W6,W64,L6+5)</f>
        <v>0</v>
      </c>
      <c r="O6" s="25">
        <f>IF(N6+2&gt;W6,W6,N6+2)</f>
        <v>0</v>
      </c>
      <c r="P6" s="26"/>
      <c r="Q6" s="27">
        <f>IF(O6+5&gt;W6,W6,O6+5)</f>
        <v>0</v>
      </c>
      <c r="R6" s="28"/>
      <c r="S6" s="29" t="s">
        <v>39</v>
      </c>
      <c r="T6" s="28"/>
      <c r="U6" s="30"/>
      <c r="W6" s="18"/>
    </row>
    <row r="7" spans="1:25" ht="10.25" customHeight="1" x14ac:dyDescent="0.35">
      <c r="A7" s="109" t="s">
        <v>0</v>
      </c>
      <c r="B7" s="31">
        <v>1</v>
      </c>
      <c r="C7" s="32" t="str">
        <f ca="1">IFERROR(INDIRECT(ADDRESS(2,MATCH($Q$2,#REF!,0),1,2,"TUAN1")),"")</f>
        <v/>
      </c>
      <c r="D7" s="33" t="str">
        <f ca="1">IFERROR(INDIRECT(ADDRESS(2,MATCH($N$2,#REF!,0),1,2,"TUAN1")),"")</f>
        <v/>
      </c>
      <c r="E7" s="34" t="str">
        <f ca="1">IFERROR(INDIRECT(ADDRESS(2,MATCH($U$2,#REF!,0),1,2,"TUAN1")),"")</f>
        <v/>
      </c>
      <c r="F7" s="32" t="str">
        <f ca="1">IFERROR(INDIRECT(ADDRESS(2,MATCH($Q$2,#REF!,0),1,2,"TUAN2")),"")</f>
        <v/>
      </c>
      <c r="G7" s="33" t="str">
        <f ca="1">IFERROR(INDIRECT(ADDRESS(2,MATCH($N$2,#REF!,0),1,2,"TUAN2")),"")</f>
        <v/>
      </c>
      <c r="H7" s="34" t="str">
        <f ca="1">IFERROR(INDIRECT(ADDRESS(2,MATCH($U$2,#REF!,0),1,2,"TUAN2")),"")</f>
        <v/>
      </c>
      <c r="I7" s="32" t="str">
        <f ca="1">IFERROR(INDIRECT(ADDRESS(2,MATCH($Q$2,#REF!,0),1,2,"TUAN3")),"")</f>
        <v/>
      </c>
      <c r="J7" s="33" t="str">
        <f ca="1">IFERROR(INDIRECT(ADDRESS(2,MATCH($N$2,#REF!,0),1,2,"TUAN3")),"")</f>
        <v/>
      </c>
      <c r="K7" s="34" t="str">
        <f ca="1">IFERROR(INDIRECT(ADDRESS(2,MATCH($U$2,#REF!,0),1,2,"TUAN3")),"")</f>
        <v/>
      </c>
      <c r="L7" s="32" t="str">
        <f ca="1">IFERROR(INDIRECT(ADDRESS(2,MATCH($Q$2,#REF!,0),1,2,"TUAN4")),"")</f>
        <v/>
      </c>
      <c r="M7" s="33" t="str">
        <f ca="1">IFERROR(INDIRECT(ADDRESS(2,MATCH($N$2,#REF!,0),1,2,"TUAN4")),"")</f>
        <v/>
      </c>
      <c r="N7" s="34" t="str">
        <f ca="1">IFERROR(INDIRECT(ADDRESS(2,MATCH($U$2,#REF!,0),1,2,"TUAN4")),"")</f>
        <v/>
      </c>
      <c r="O7" s="32" t="str">
        <f ca="1">IFERROR(INDIRECT(ADDRESS(2,MATCH($Q$2,#REF!,0),1,2,"TUAN5")),"")</f>
        <v/>
      </c>
      <c r="P7" s="33" t="str">
        <f ca="1">IFERROR(INDIRECT(ADDRESS(2,MATCH($N$2,#REF!,0),1,2,"TUAN5")),"")</f>
        <v/>
      </c>
      <c r="Q7" s="33" t="str">
        <f ca="1">IFERROR(INDIRECT(ADDRESS(2,MATCH($U$2,#REF!,0),1,2,"TUAN5")),"")</f>
        <v/>
      </c>
      <c r="R7" s="35" t="s">
        <v>32</v>
      </c>
      <c r="S7" s="36" t="str">
        <f ca="1">IF(COUNTIF(C7:E65,"6*")=0,"",COUNTIF(C7:E65,"6*"))</f>
        <v/>
      </c>
      <c r="T7" s="37"/>
      <c r="U7" s="38" t="s">
        <v>30</v>
      </c>
    </row>
    <row r="8" spans="1:25" ht="10.25" customHeight="1" x14ac:dyDescent="0.35">
      <c r="A8" s="109"/>
      <c r="B8" s="31">
        <v>2</v>
      </c>
      <c r="C8" s="32" t="str">
        <f ca="1">IFERROR(INDIRECT(ADDRESS(2,MATCH($Q$2,#REF!,0),1,2,"TUAN1")),"")</f>
        <v/>
      </c>
      <c r="D8" s="33" t="str">
        <f ca="1">IFERROR(INDIRECT(ADDRESS(2,MATCH($N$2,#REF!,0),1,2,"TUAN1")),"")</f>
        <v/>
      </c>
      <c r="E8" s="34" t="str">
        <f ca="1">IFERROR(INDIRECT(ADDRESS(2,MATCH($U$2,#REF!,0),1,2,"TUAN1")),"")</f>
        <v/>
      </c>
      <c r="F8" s="32" t="str">
        <f ca="1">IFERROR(INDIRECT(ADDRESS(2,MATCH($Q$2,#REF!,0),1,2,"TUAN2")),"")</f>
        <v/>
      </c>
      <c r="G8" s="33" t="str">
        <f ca="1">IFERROR(INDIRECT(ADDRESS(2,MATCH($N$2,#REF!,0),1,2,"TUAN2")),"")</f>
        <v/>
      </c>
      <c r="H8" s="34" t="str">
        <f ca="1">IFERROR(INDIRECT(ADDRESS(2,MATCH($U$2,#REF!,0),1,2,"TUAN2")),"")</f>
        <v/>
      </c>
      <c r="I8" s="32" t="str">
        <f ca="1">IFERROR(INDIRECT(ADDRESS(2,MATCH($Q$2,#REF!,0),1,2,"TUAN3")),"")</f>
        <v/>
      </c>
      <c r="J8" s="33" t="str">
        <f ca="1">IFERROR(INDIRECT(ADDRESS(2,MATCH($N$2,#REF!,0),1,2,"TUAN3")),"")</f>
        <v/>
      </c>
      <c r="K8" s="34" t="str">
        <f ca="1">IFERROR(INDIRECT(ADDRESS(2,MATCH($U$2,#REF!,0),1,2,"TUAN3")),"")</f>
        <v/>
      </c>
      <c r="L8" s="32" t="str">
        <f ca="1">IFERROR(INDIRECT(ADDRESS(2,MATCH($Q$2,#REF!,0),1,2,"TUAN4")),"")</f>
        <v/>
      </c>
      <c r="M8" s="33" t="str">
        <f ca="1">IFERROR(INDIRECT(ADDRESS(2,MATCH($N$2,#REF!,0),1,2,"TUAN4")),"")</f>
        <v/>
      </c>
      <c r="N8" s="34" t="str">
        <f ca="1">IFERROR(INDIRECT(ADDRESS(2,MATCH($U$2,#REF!,0),1,2,"TUAN4")),"")</f>
        <v/>
      </c>
      <c r="O8" s="32" t="str">
        <f ca="1">IFERROR(INDIRECT(ADDRESS(2,MATCH($Q$2,#REF!,0),1,2,"TUAN5")),"")</f>
        <v/>
      </c>
      <c r="P8" s="33" t="str">
        <f ca="1">IFERROR(INDIRECT(ADDRESS(2,MATCH($N$2,#REF!,0),1,2,"TUAN5")),"")</f>
        <v/>
      </c>
      <c r="Q8" s="33" t="str">
        <f ca="1">IFERROR(INDIRECT(ADDRESS(2,MATCH($U$2,#REF!,0),1,2,"TUAN5")),"")</f>
        <v/>
      </c>
      <c r="R8" s="39" t="s">
        <v>33</v>
      </c>
      <c r="S8" s="40" t="str">
        <f ca="1">IF(COUNTIF(C7:E65,"7*")=0,"",COUNTIF(C7:E65,"7*"))</f>
        <v/>
      </c>
      <c r="T8" s="41"/>
      <c r="U8" s="42"/>
    </row>
    <row r="9" spans="1:25" ht="10.25" customHeight="1" x14ac:dyDescent="0.35">
      <c r="A9" s="109"/>
      <c r="B9" s="31">
        <v>3</v>
      </c>
      <c r="C9" s="32" t="str">
        <f ca="1">IFERROR(INDIRECT(ADDRESS(2,MATCH($Q$2,#REF!,0),1,2,"TUAN1")),"")</f>
        <v/>
      </c>
      <c r="D9" s="33" t="str">
        <f ca="1">IFERROR(INDIRECT(ADDRESS(2,MATCH($N$2,#REF!,0),1,2,"TUAN1")),"")</f>
        <v/>
      </c>
      <c r="E9" s="34" t="str">
        <f ca="1">IFERROR(INDIRECT(ADDRESS(2,MATCH($U$2,#REF!,0),1,2,"TUAN1")),"")</f>
        <v/>
      </c>
      <c r="F9" s="32" t="str">
        <f ca="1">IFERROR(INDIRECT(ADDRESS(2,MATCH($Q$2,#REF!,0),1,2,"TUAN2")),"")</f>
        <v/>
      </c>
      <c r="G9" s="33" t="str">
        <f ca="1">IFERROR(INDIRECT(ADDRESS(2,MATCH($N$2,#REF!,0),1,2,"TUAN2")),"")</f>
        <v/>
      </c>
      <c r="H9" s="34" t="str">
        <f ca="1">IFERROR(INDIRECT(ADDRESS(2,MATCH($U$2,#REF!,0),1,2,"TUAN2")),"")</f>
        <v/>
      </c>
      <c r="I9" s="32" t="str">
        <f ca="1">IFERROR(INDIRECT(ADDRESS(2,MATCH($Q$2,#REF!,0),1,2,"TUAN3")),"")</f>
        <v/>
      </c>
      <c r="J9" s="33" t="str">
        <f ca="1">IFERROR(INDIRECT(ADDRESS(2,MATCH($N$2,#REF!,0),1,2,"TUAN3")),"")</f>
        <v/>
      </c>
      <c r="K9" s="34" t="str">
        <f ca="1">IFERROR(INDIRECT(ADDRESS(2,MATCH($U$2,#REF!,0),1,2,"TUAN3")),"")</f>
        <v/>
      </c>
      <c r="L9" s="32" t="str">
        <f ca="1">IFERROR(INDIRECT(ADDRESS(2,MATCH($Q$2,#REF!,0),1,2,"TUAN4")),"")</f>
        <v/>
      </c>
      <c r="M9" s="33" t="str">
        <f ca="1">IFERROR(INDIRECT(ADDRESS(2,MATCH($N$2,#REF!,0),1,2,"TUAN4")),"")</f>
        <v/>
      </c>
      <c r="N9" s="34" t="str">
        <f ca="1">IFERROR(INDIRECT(ADDRESS(2,MATCH($U$2,#REF!,0),1,2,"TUAN4")),"")</f>
        <v/>
      </c>
      <c r="O9" s="32" t="str">
        <f ca="1">IFERROR(INDIRECT(ADDRESS(2,MATCH($Q$2,#REF!,0),1,2,"TUAN5")),"")</f>
        <v/>
      </c>
      <c r="P9" s="33" t="str">
        <f ca="1">IFERROR(INDIRECT(ADDRESS(2,MATCH($N$2,#REF!,0),1,2,"TUAN5")),"")</f>
        <v/>
      </c>
      <c r="Q9" s="33" t="str">
        <f ca="1">IFERROR(INDIRECT(ADDRESS(2,MATCH($U$2,#REF!,0),1,2,"TUAN5")),"")</f>
        <v/>
      </c>
      <c r="R9" s="39" t="s">
        <v>31</v>
      </c>
      <c r="S9" s="40" t="str">
        <f ca="1">IF(COUNTIF(C7:E65,"8*")=0,"",COUNTIF(C7:E65,"8*"))</f>
        <v/>
      </c>
      <c r="T9" s="41"/>
      <c r="U9" s="43" t="s">
        <v>38</v>
      </c>
    </row>
    <row r="10" spans="1:25" ht="10.25" customHeight="1" x14ac:dyDescent="0.35">
      <c r="A10" s="109"/>
      <c r="B10" s="31">
        <v>4</v>
      </c>
      <c r="C10" s="32" t="str">
        <f ca="1">IFERROR(INDIRECT(ADDRESS(2,MATCH($Q$2,#REF!,0),1,2,"TUAN1")),"")</f>
        <v/>
      </c>
      <c r="D10" s="33" t="str">
        <f ca="1">IFERROR(INDIRECT(ADDRESS(2,MATCH($N$2,#REF!,0),1,2,"TUAN1")),"")</f>
        <v/>
      </c>
      <c r="E10" s="34" t="str">
        <f ca="1">IFERROR(INDIRECT(ADDRESS(2,MATCH($U$2,#REF!,0),1,2,"TUAN1")),"")</f>
        <v/>
      </c>
      <c r="F10" s="32" t="str">
        <f ca="1">IFERROR(INDIRECT(ADDRESS(2,MATCH($Q$2,#REF!,0),1,2,"TUAN2")),"")</f>
        <v/>
      </c>
      <c r="G10" s="33" t="str">
        <f ca="1">IFERROR(INDIRECT(ADDRESS(2,MATCH($N$2,#REF!,0),1,2,"TUAN2")),"")</f>
        <v/>
      </c>
      <c r="H10" s="34" t="str">
        <f ca="1">IFERROR(INDIRECT(ADDRESS(2,MATCH($U$2,#REF!,0),1,2,"TUAN2")),"")</f>
        <v/>
      </c>
      <c r="I10" s="32" t="str">
        <f ca="1">IFERROR(INDIRECT(ADDRESS(2,MATCH($Q$2,#REF!,0),1,2,"TUAN3")),"")</f>
        <v/>
      </c>
      <c r="J10" s="33" t="str">
        <f ca="1">IFERROR(INDIRECT(ADDRESS(2,MATCH($N$2,#REF!,0),1,2,"TUAN3")),"")</f>
        <v/>
      </c>
      <c r="K10" s="34" t="str">
        <f ca="1">IFERROR(INDIRECT(ADDRESS(2,MATCH($U$2,#REF!,0),1,2,"TUAN3")),"")</f>
        <v/>
      </c>
      <c r="L10" s="32" t="str">
        <f ca="1">IFERROR(INDIRECT(ADDRESS(2,MATCH($Q$2,#REF!,0),1,2,"TUAN4")),"")</f>
        <v/>
      </c>
      <c r="M10" s="33" t="str">
        <f ca="1">IFERROR(INDIRECT(ADDRESS(2,MATCH($N$2,#REF!,0),1,2,"TUAN4")),"")</f>
        <v/>
      </c>
      <c r="N10" s="34" t="str">
        <f ca="1">IFERROR(INDIRECT(ADDRESS(2,MATCH($U$2,#REF!,0),1,2,"TUAN4")),"")</f>
        <v/>
      </c>
      <c r="O10" s="32" t="str">
        <f ca="1">IFERROR(INDIRECT(ADDRESS(2,MATCH($Q$2,#REF!,0),1,2,"TUAN5")),"")</f>
        <v/>
      </c>
      <c r="P10" s="33" t="str">
        <f ca="1">IFERROR(INDIRECT(ADDRESS(2,MATCH($N$2,#REF!,0),1,2,"TUAN5")),"")</f>
        <v/>
      </c>
      <c r="Q10" s="33" t="str">
        <f ca="1">IFERROR(INDIRECT(ADDRESS(2,MATCH($U$2,#REF!,0),1,2,"TUAN5")),"")</f>
        <v/>
      </c>
      <c r="R10" s="39" t="s">
        <v>34</v>
      </c>
      <c r="S10" s="40" t="str">
        <f ca="1">IF(COUNTIF(C7:E65,"9*")=0,"",COUNTIF(C7:E65,"9*"))</f>
        <v/>
      </c>
      <c r="T10" s="41"/>
      <c r="U10" s="104">
        <f ca="1">SUM(S7:S13)</f>
        <v>0</v>
      </c>
    </row>
    <row r="11" spans="1:25" ht="10.25" customHeight="1" x14ac:dyDescent="0.35">
      <c r="A11" s="109"/>
      <c r="B11" s="44"/>
      <c r="C11" s="32" t="str">
        <f ca="1">IFERROR(INDIRECT(ADDRESS(2,MATCH($Q$2,#REF!,0),1,2,"TUAN1")),"")</f>
        <v/>
      </c>
      <c r="D11" s="33" t="str">
        <f ca="1">IFERROR(INDIRECT(ADDRESS(2,MATCH($N$2,#REF!,0),1,2,"TUAN1")),"")</f>
        <v/>
      </c>
      <c r="E11" s="34" t="str">
        <f ca="1">IFERROR(INDIRECT(ADDRESS(2,MATCH($U$2,#REF!,0),1,2,"TUAN1")),"")</f>
        <v/>
      </c>
      <c r="F11" s="32" t="str">
        <f ca="1">IFERROR(INDIRECT(ADDRESS(2,MATCH($Q$2,#REF!,0),1,2,"TUAN2")),"")</f>
        <v/>
      </c>
      <c r="G11" s="33" t="str">
        <f ca="1">IFERROR(INDIRECT(ADDRESS(2,MATCH($N$2,#REF!,0),1,2,"TUAN2")),"")</f>
        <v/>
      </c>
      <c r="H11" s="34" t="str">
        <f ca="1">IFERROR(INDIRECT(ADDRESS(2,MATCH($U$2,#REF!,0),1,2,"TUAN2")),"")</f>
        <v/>
      </c>
      <c r="I11" s="32" t="str">
        <f ca="1">IFERROR(INDIRECT(ADDRESS(2,MATCH($Q$2,#REF!,0),1,2,"TUAN3")),"")</f>
        <v/>
      </c>
      <c r="J11" s="33" t="str">
        <f ca="1">IFERROR(INDIRECT(ADDRESS(2,MATCH($N$2,#REF!,0),1,2,"TUAN3")),"")</f>
        <v/>
      </c>
      <c r="K11" s="34" t="str">
        <f ca="1">IFERROR(INDIRECT(ADDRESS(2,MATCH($U$2,#REF!,0),1,2,"TUAN3")),"")</f>
        <v/>
      </c>
      <c r="L11" s="32" t="str">
        <f ca="1">IFERROR(INDIRECT(ADDRESS(2,MATCH($Q$2,#REF!,0),1,2,"TUAN4")),"")</f>
        <v/>
      </c>
      <c r="M11" s="33" t="str">
        <f ca="1">IFERROR(INDIRECT(ADDRESS(2,MATCH($N$2,#REF!,0),1,2,"TUAN4")),"")</f>
        <v/>
      </c>
      <c r="N11" s="34" t="str">
        <f ca="1">IFERROR(INDIRECT(ADDRESS(2,MATCH($U$2,#REF!,0),1,2,"TUAN4")),"")</f>
        <v/>
      </c>
      <c r="O11" s="32" t="str">
        <f ca="1">IFERROR(INDIRECT(ADDRESS(2,MATCH($Q$2,#REF!,0),1,2,"TUAN5")),"")</f>
        <v/>
      </c>
      <c r="P11" s="33" t="str">
        <f ca="1">IFERROR(INDIRECT(ADDRESS(2,MATCH($N$2,#REF!,0),1,2,"TUAN5")),"")</f>
        <v/>
      </c>
      <c r="Q11" s="33" t="str">
        <f ca="1">IFERROR(INDIRECT(ADDRESS(2,MATCH($U$2,#REF!,0),1,2,"TUAN5")),"")</f>
        <v/>
      </c>
      <c r="R11" s="39" t="s">
        <v>35</v>
      </c>
      <c r="S11" s="40" t="str">
        <f ca="1">IF(COUNTIF(C7:E65,"10*")=0,"",COUNTIF(C7:E65,"10*"))</f>
        <v/>
      </c>
      <c r="T11" s="41"/>
      <c r="U11" s="104"/>
    </row>
    <row r="12" spans="1:25" ht="10.25" customHeight="1" x14ac:dyDescent="0.35">
      <c r="A12" s="109"/>
      <c r="B12" s="31">
        <v>5</v>
      </c>
      <c r="C12" s="32" t="str">
        <f ca="1">IFERROR(INDIRECT(ADDRESS(2,MATCH($Q$2,#REF!,0),1,2,"TUAN1")),"")</f>
        <v/>
      </c>
      <c r="D12" s="33" t="str">
        <f ca="1">IFERROR(INDIRECT(ADDRESS(2,MATCH($N$2,#REF!,0),1,2,"TUAN1")),"")</f>
        <v/>
      </c>
      <c r="E12" s="34" t="str">
        <f ca="1">IFERROR(INDIRECT(ADDRESS(2,MATCH($U$2,#REF!,0),1,2,"TUAN1")),"")</f>
        <v/>
      </c>
      <c r="F12" s="32" t="str">
        <f ca="1">IFERROR(INDIRECT(ADDRESS(2,MATCH($Q$2,#REF!,0),1,2,"TUAN2")),"")</f>
        <v/>
      </c>
      <c r="G12" s="33" t="str">
        <f ca="1">IFERROR(INDIRECT(ADDRESS(2,MATCH($N$2,#REF!,0),1,2,"TUAN2")),"")</f>
        <v/>
      </c>
      <c r="H12" s="34" t="str">
        <f ca="1">IFERROR(INDIRECT(ADDRESS(2,MATCH($U$2,#REF!,0),1,2,"TUAN2")),"")</f>
        <v/>
      </c>
      <c r="I12" s="32" t="str">
        <f ca="1">IFERROR(INDIRECT(ADDRESS(2,MATCH($Q$2,#REF!,0),1,2,"TUAN3")),"")</f>
        <v/>
      </c>
      <c r="J12" s="33" t="str">
        <f ca="1">IFERROR(INDIRECT(ADDRESS(2,MATCH($N$2,#REF!,0),1,2,"TUAN3")),"")</f>
        <v/>
      </c>
      <c r="K12" s="34" t="str">
        <f ca="1">IFERROR(INDIRECT(ADDRESS(2,MATCH($U$2,#REF!,0),1,2,"TUAN3")),"")</f>
        <v/>
      </c>
      <c r="L12" s="32" t="str">
        <f ca="1">IFERROR(INDIRECT(ADDRESS(2,MATCH($Q$2,#REF!,0),1,2,"TUAN4")),"")</f>
        <v/>
      </c>
      <c r="M12" s="33" t="str">
        <f ca="1">IFERROR(INDIRECT(ADDRESS(2,MATCH($N$2,#REF!,0),1,2,"TUAN4")),"")</f>
        <v/>
      </c>
      <c r="N12" s="34" t="str">
        <f ca="1">IFERROR(INDIRECT(ADDRESS(2,MATCH($U$2,#REF!,0),1,2,"TUAN4")),"")</f>
        <v/>
      </c>
      <c r="O12" s="32" t="str">
        <f ca="1">IFERROR(INDIRECT(ADDRESS(2,MATCH($Q$2,#REF!,0),1,2,"TUAN5")),"")</f>
        <v/>
      </c>
      <c r="P12" s="33" t="str">
        <f ca="1">IFERROR(INDIRECT(ADDRESS(2,MATCH($N$2,#REF!,0),1,2,"TUAN5")),"")</f>
        <v/>
      </c>
      <c r="Q12" s="33" t="str">
        <f ca="1">IFERROR(INDIRECT(ADDRESS(2,MATCH($U$2,#REF!,0),1,2,"TUAN5")),"")</f>
        <v/>
      </c>
      <c r="R12" s="39" t="s">
        <v>36</v>
      </c>
      <c r="S12" s="40" t="str">
        <f ca="1">IF(COUNTIF(C7:E65,"11*")=0,"",COUNTIF(C7:E65,"11*"))</f>
        <v/>
      </c>
      <c r="T12" s="41"/>
      <c r="U12" s="104"/>
    </row>
    <row r="13" spans="1:25" ht="10.25" customHeight="1" x14ac:dyDescent="0.35">
      <c r="A13" s="109"/>
      <c r="B13" s="31">
        <v>6</v>
      </c>
      <c r="C13" s="32" t="str">
        <f ca="1">IFERROR(INDIRECT(ADDRESS(2,MATCH($Q$2,#REF!,0),1,2,"TUAN1")),"")</f>
        <v/>
      </c>
      <c r="D13" s="33" t="str">
        <f ca="1">IFERROR(INDIRECT(ADDRESS(2,MATCH($N$2,#REF!,0),1,2,"TUAN1")),"")</f>
        <v/>
      </c>
      <c r="E13" s="34" t="str">
        <f ca="1">IFERROR(INDIRECT(ADDRESS(2,MATCH($U$2,#REF!,0),1,2,"TUAN1")),"")</f>
        <v/>
      </c>
      <c r="F13" s="32" t="str">
        <f ca="1">IFERROR(INDIRECT(ADDRESS(2,MATCH($Q$2,#REF!,0),1,2,"TUAN2")),"")</f>
        <v/>
      </c>
      <c r="G13" s="33" t="str">
        <f ca="1">IFERROR(INDIRECT(ADDRESS(2,MATCH($N$2,#REF!,0),1,2,"TUAN2")),"")</f>
        <v/>
      </c>
      <c r="H13" s="34" t="str">
        <f ca="1">IFERROR(INDIRECT(ADDRESS(2,MATCH($U$2,#REF!,0),1,2,"TUAN2")),"")</f>
        <v/>
      </c>
      <c r="I13" s="32" t="str">
        <f ca="1">IFERROR(INDIRECT(ADDRESS(2,MATCH($Q$2,#REF!,0),1,2,"TUAN3")),"")</f>
        <v/>
      </c>
      <c r="J13" s="33" t="str">
        <f ca="1">IFERROR(INDIRECT(ADDRESS(2,MATCH($N$2,#REF!,0),1,2,"TUAN3")),"")</f>
        <v/>
      </c>
      <c r="K13" s="34" t="str">
        <f ca="1">IFERROR(INDIRECT(ADDRESS(2,MATCH($U$2,#REF!,0),1,2,"TUAN3")),"")</f>
        <v/>
      </c>
      <c r="L13" s="32" t="str">
        <f ca="1">IFERROR(INDIRECT(ADDRESS(2,MATCH($Q$2,#REF!,0),1,2,"TUAN4")),"")</f>
        <v/>
      </c>
      <c r="M13" s="33" t="str">
        <f ca="1">IFERROR(INDIRECT(ADDRESS(2,MATCH($N$2,#REF!,0),1,2,"TUAN4")),"")</f>
        <v/>
      </c>
      <c r="N13" s="34" t="str">
        <f ca="1">IFERROR(INDIRECT(ADDRESS(2,MATCH($U$2,#REF!,0),1,2,"TUAN4")),"")</f>
        <v/>
      </c>
      <c r="O13" s="32" t="str">
        <f ca="1">IFERROR(INDIRECT(ADDRESS(2,MATCH($Q$2,#REF!,0),1,2,"TUAN5")),"")</f>
        <v/>
      </c>
      <c r="P13" s="33" t="str">
        <f ca="1">IFERROR(INDIRECT(ADDRESS(2,MATCH($N$2,#REF!,0),1,2,"TUAN5")),"")</f>
        <v/>
      </c>
      <c r="Q13" s="33" t="str">
        <f ca="1">IFERROR(INDIRECT(ADDRESS(2,MATCH($U$2,#REF!,0),1,2,"TUAN5")),"")</f>
        <v/>
      </c>
      <c r="R13" s="39" t="s">
        <v>37</v>
      </c>
      <c r="S13" s="40" t="str">
        <f ca="1">IF(COUNTIF(C7:E65,"KH*")=0,"",COUNTIF(C7:E65,"KH*"))</f>
        <v/>
      </c>
      <c r="T13" s="41"/>
      <c r="U13" s="104"/>
    </row>
    <row r="14" spans="1:25" ht="10.25" customHeight="1" x14ac:dyDescent="0.35">
      <c r="A14" s="109"/>
      <c r="B14" s="31">
        <v>7</v>
      </c>
      <c r="C14" s="32" t="str">
        <f ca="1">IFERROR(INDIRECT(ADDRESS(2,MATCH($Q$2,#REF!,0),1,2,"TUAN1")),"")</f>
        <v/>
      </c>
      <c r="D14" s="33" t="str">
        <f ca="1">IFERROR(INDIRECT(ADDRESS(2,MATCH($N$2,#REF!,0),1,2,"TUAN1")),"")</f>
        <v/>
      </c>
      <c r="E14" s="34"/>
      <c r="F14" s="32" t="str">
        <f ca="1">IFERROR(INDIRECT(ADDRESS(2,MATCH($Q$2,#REF!,0),1,2,"TUAN2")),"")</f>
        <v/>
      </c>
      <c r="G14" s="33" t="str">
        <f ca="1">IFERROR(INDIRECT(ADDRESS(2,MATCH($N$2,#REF!,0),1,2,"TUAN2")),"")</f>
        <v/>
      </c>
      <c r="H14" s="34" t="str">
        <f ca="1">IFERROR(INDIRECT(ADDRESS(2,MATCH($U$2,#REF!,0),1,2,"TUAN2")),"")</f>
        <v/>
      </c>
      <c r="I14" s="32" t="str">
        <f ca="1">IFERROR(INDIRECT(ADDRESS(2,MATCH($Q$2,#REF!,0),1,2,"TUAN3")),"")</f>
        <v/>
      </c>
      <c r="J14" s="33" t="str">
        <f ca="1">IFERROR(INDIRECT(ADDRESS(2,MATCH($N$2,#REF!,0),1,2,"TUAN3")),"")</f>
        <v/>
      </c>
      <c r="K14" s="34" t="str">
        <f ca="1">IFERROR(INDIRECT(ADDRESS(2,MATCH($U$2,#REF!,0),1,2,"TUAN3")),"")</f>
        <v/>
      </c>
      <c r="L14" s="32" t="str">
        <f ca="1">IFERROR(INDIRECT(ADDRESS(2,MATCH($Q$2,#REF!,0),1,2,"TUAN4")),"")</f>
        <v/>
      </c>
      <c r="M14" s="33" t="str">
        <f ca="1">IFERROR(INDIRECT(ADDRESS(2,MATCH($N$2,#REF!,0),1,2,"TUAN4")),"")</f>
        <v/>
      </c>
      <c r="N14" s="34" t="str">
        <f ca="1">IFERROR(INDIRECT(ADDRESS(2,MATCH($U$2,#REF!,0),1,2,"TUAN4")),"")</f>
        <v/>
      </c>
      <c r="O14" s="32" t="str">
        <f ca="1">IFERROR(INDIRECT(ADDRESS(2,MATCH($Q$2,#REF!,0),1,2,"TUAN5")),"")</f>
        <v/>
      </c>
      <c r="P14" s="33" t="str">
        <f ca="1">IFERROR(INDIRECT(ADDRESS(2,MATCH($N$2,#REF!,0),1,2,"TUAN5")),"")</f>
        <v/>
      </c>
      <c r="Q14" s="33" t="str">
        <f ca="1">IFERROR(INDIRECT(ADDRESS(2,MATCH($U$2,#REF!,0),1,2,"TUAN5")),"")</f>
        <v/>
      </c>
      <c r="R14" s="45"/>
      <c r="S14" s="46"/>
      <c r="T14" s="41"/>
      <c r="U14" s="104"/>
    </row>
    <row r="15" spans="1:25" ht="10.25" customHeight="1" x14ac:dyDescent="0.35">
      <c r="A15" s="109"/>
      <c r="B15" s="31">
        <v>8</v>
      </c>
      <c r="C15" s="32" t="str">
        <f ca="1">IFERROR(INDIRECT(ADDRESS(2,MATCH($Q$2,#REF!,0),1,2,"TUAN1")),"")</f>
        <v/>
      </c>
      <c r="D15" s="33" t="str">
        <f ca="1">IFERROR(INDIRECT(ADDRESS(2,MATCH($N$2,#REF!,0),1,2,"TUAN1")),"")</f>
        <v/>
      </c>
      <c r="E15" s="34"/>
      <c r="F15" s="32" t="str">
        <f ca="1">IFERROR(INDIRECT(ADDRESS(2,MATCH($Q$2,#REF!,0),1,2,"TUAN2")),"")</f>
        <v/>
      </c>
      <c r="G15" s="33" t="str">
        <f ca="1">IFERROR(INDIRECT(ADDRESS(2,MATCH($N$2,#REF!,0),1,2,"TUAN2")),"")</f>
        <v/>
      </c>
      <c r="H15" s="34" t="str">
        <f ca="1">IFERROR(INDIRECT(ADDRESS(2,MATCH($U$2,#REF!,0),1,2,"TUAN2")),"")</f>
        <v/>
      </c>
      <c r="I15" s="32" t="str">
        <f ca="1">IFERROR(INDIRECT(ADDRESS(2,MATCH($Q$2,#REF!,0),1,2,"TUAN3")),"")</f>
        <v/>
      </c>
      <c r="J15" s="33" t="str">
        <f ca="1">IFERROR(INDIRECT(ADDRESS(2,MATCH($N$2,#REF!,0),1,2,"TUAN3")),"")</f>
        <v/>
      </c>
      <c r="K15" s="34" t="str">
        <f ca="1">IFERROR(INDIRECT(ADDRESS(2,MATCH($U$2,#REF!,0),1,2,"TUAN3")),"")</f>
        <v/>
      </c>
      <c r="L15" s="32" t="str">
        <f ca="1">IFERROR(INDIRECT(ADDRESS(2,MATCH($Q$2,#REF!,0),1,2,"TUAN4")),"")</f>
        <v/>
      </c>
      <c r="M15" s="33" t="str">
        <f ca="1">IFERROR(INDIRECT(ADDRESS(2,MATCH($N$2,#REF!,0),1,2,"TUAN4")),"")</f>
        <v/>
      </c>
      <c r="N15" s="34" t="str">
        <f ca="1">IFERROR(INDIRECT(ADDRESS(2,MATCH($U$2,#REF!,0),1,2,"TUAN4")),"")</f>
        <v/>
      </c>
      <c r="O15" s="32" t="str">
        <f ca="1">IFERROR(INDIRECT(ADDRESS(2,MATCH($Q$2,#REF!,0),1,2,"TUAN5")),"")</f>
        <v/>
      </c>
      <c r="P15" s="33" t="str">
        <f ca="1">IFERROR(INDIRECT(ADDRESS(2,MATCH($N$2,#REF!,0),1,2,"TUAN5")),"")</f>
        <v/>
      </c>
      <c r="Q15" s="33" t="str">
        <f ca="1">IFERROR(INDIRECT(ADDRESS(2,MATCH($U$2,#REF!,0),1,2,"TUAN5")),"")</f>
        <v/>
      </c>
      <c r="R15" s="45"/>
      <c r="S15" s="46"/>
      <c r="T15" s="41"/>
      <c r="U15" s="104"/>
    </row>
    <row r="16" spans="1:25" s="52" customFormat="1" ht="10.25" customHeight="1" thickBot="1" x14ac:dyDescent="0.4">
      <c r="A16" s="47"/>
      <c r="B16" s="48"/>
      <c r="C16" s="32" t="str">
        <f ca="1">IFERROR(INDIRECT(ADDRESS(2,MATCH($Q$2,#REF!,0),1,2,"TUAN1")),"")</f>
        <v/>
      </c>
      <c r="D16" s="33" t="str">
        <f ca="1">IFERROR(INDIRECT(ADDRESS(2,MATCH($N$2,#REF!,0),1,2,"TUAN1")),"")</f>
        <v/>
      </c>
      <c r="E16" s="34"/>
      <c r="F16" s="32" t="str">
        <f ca="1">IFERROR(INDIRECT(ADDRESS(2,MATCH($Q$2,#REF!,0),1,2,"TUAN2")),"")</f>
        <v/>
      </c>
      <c r="G16" s="33" t="str">
        <f ca="1">IFERROR(INDIRECT(ADDRESS(2,MATCH($N$2,#REF!,0),1,2,"TUAN2")),"")</f>
        <v/>
      </c>
      <c r="H16" s="34" t="str">
        <f ca="1">IFERROR(INDIRECT(ADDRESS(2,MATCH($U$2,#REF!,0),1,2,"TUAN2")),"")</f>
        <v/>
      </c>
      <c r="I16" s="32" t="str">
        <f ca="1">IFERROR(INDIRECT(ADDRESS(2,MATCH($Q$2,#REF!,0),1,2,"TUAN3")),"")</f>
        <v/>
      </c>
      <c r="J16" s="33" t="str">
        <f ca="1">IFERROR(INDIRECT(ADDRESS(2,MATCH($N$2,#REF!,0),1,2,"TUAN3")),"")</f>
        <v/>
      </c>
      <c r="K16" s="34" t="str">
        <f ca="1">IFERROR(INDIRECT(ADDRESS(2,MATCH($U$2,#REF!,0),1,2,"TUAN3")),"")</f>
        <v/>
      </c>
      <c r="L16" s="32" t="str">
        <f ca="1">IFERROR(INDIRECT(ADDRESS(2,MATCH($Q$2,#REF!,0),1,2,"TUAN4")),"")</f>
        <v/>
      </c>
      <c r="M16" s="33" t="str">
        <f ca="1">IFERROR(INDIRECT(ADDRESS(2,MATCH($N$2,#REF!,0),1,2,"TUAN4")),"")</f>
        <v/>
      </c>
      <c r="N16" s="34" t="str">
        <f ca="1">IFERROR(INDIRECT(ADDRESS(2,MATCH($U$2,#REF!,0),1,2,"TUAN4")),"")</f>
        <v/>
      </c>
      <c r="O16" s="32" t="str">
        <f ca="1">IFERROR(INDIRECT(ADDRESS(2,MATCH($Q$2,#REF!,0),1,2,"TUAN5")),"")</f>
        <v/>
      </c>
      <c r="P16" s="33" t="str">
        <f ca="1">IFERROR(INDIRECT(ADDRESS(2,MATCH($N$2,#REF!,0),1,2,"TUAN5")),"")</f>
        <v/>
      </c>
      <c r="Q16" s="33" t="str">
        <f ca="1">IFERROR(INDIRECT(ADDRESS(2,MATCH($U$2,#REF!,0),1,2,"TUAN5")),"")</f>
        <v/>
      </c>
      <c r="R16" s="49"/>
      <c r="S16" s="50"/>
      <c r="T16" s="51"/>
      <c r="U16" s="105"/>
      <c r="V16"/>
      <c r="X16"/>
      <c r="Y16"/>
    </row>
    <row r="17" spans="1:25" ht="10.25" customHeight="1" x14ac:dyDescent="0.35">
      <c r="A17" s="108" t="s">
        <v>1</v>
      </c>
      <c r="B17" s="53">
        <v>1</v>
      </c>
      <c r="C17" s="32" t="str">
        <f ca="1">IFERROR(INDIRECT(ADDRESS(2,MATCH($Q$2,#REF!,0),1,2,"TUAN1")),"")</f>
        <v/>
      </c>
      <c r="D17" s="33" t="str">
        <f ca="1">IFERROR(INDIRECT(ADDRESS(2,MATCH($N$2,#REF!,0),1,2,"TUAN1")),"")</f>
        <v/>
      </c>
      <c r="E17" s="34"/>
      <c r="F17" s="32" t="str">
        <f ca="1">IFERROR(INDIRECT(ADDRESS(2,MATCH($Q$2,#REF!,0),1,2,"TUAN2")),"")</f>
        <v/>
      </c>
      <c r="G17" s="33" t="str">
        <f ca="1">IFERROR(INDIRECT(ADDRESS(2,MATCH($N$2,#REF!,0),1,2,"TUAN2")),"")</f>
        <v/>
      </c>
      <c r="H17" s="34" t="str">
        <f ca="1">IFERROR(INDIRECT(ADDRESS(2,MATCH($U$2,#REF!,0),1,2,"TUAN2")),"")</f>
        <v/>
      </c>
      <c r="I17" s="32" t="str">
        <f ca="1">IFERROR(INDIRECT(ADDRESS(2,MATCH($Q$2,#REF!,0),1,2,"TUAN3")),"")</f>
        <v/>
      </c>
      <c r="J17" s="33" t="str">
        <f ca="1">IFERROR(INDIRECT(ADDRESS(2,MATCH($N$2,#REF!,0),1,2,"TUAN3")),"")</f>
        <v/>
      </c>
      <c r="K17" s="34" t="str">
        <f ca="1">IFERROR(INDIRECT(ADDRESS(2,MATCH($U$2,#REF!,0),1,2,"TUAN3")),"")</f>
        <v/>
      </c>
      <c r="L17" s="32" t="str">
        <f ca="1">IFERROR(INDIRECT(ADDRESS(2,MATCH($Q$2,#REF!,0),1,2,"TUAN4")),"")</f>
        <v/>
      </c>
      <c r="M17" s="33" t="str">
        <f ca="1">IFERROR(INDIRECT(ADDRESS(2,MATCH($N$2,#REF!,0),1,2,"TUAN4")),"")</f>
        <v/>
      </c>
      <c r="N17" s="34" t="str">
        <f ca="1">IFERROR(INDIRECT(ADDRESS(2,MATCH($U$2,#REF!,0),1,2,"TUAN4")),"")</f>
        <v/>
      </c>
      <c r="O17" s="32" t="str">
        <f ca="1">IFERROR(INDIRECT(ADDRESS(2,MATCH($Q$2,#REF!,0),1,2,"TUAN5")),"")</f>
        <v/>
      </c>
      <c r="P17" s="33" t="str">
        <f ca="1">IFERROR(INDIRECT(ADDRESS(2,MATCH($N$2,#REF!,0),1,2,"TUAN5")),"")</f>
        <v/>
      </c>
      <c r="Q17" s="33" t="str">
        <f ca="1">IFERROR(INDIRECT(ADDRESS(2,MATCH($U$2,#REF!,0),1,2,"TUAN5")),"")</f>
        <v/>
      </c>
      <c r="R17" s="35" t="s">
        <v>32</v>
      </c>
      <c r="S17" s="36" t="str">
        <f ca="1">IF(COUNTIF(F7:H65,"6*")=0,"",COUNTIF(F7:H65,"6*"))</f>
        <v/>
      </c>
      <c r="T17" s="37"/>
      <c r="U17" s="106" t="s">
        <v>11</v>
      </c>
    </row>
    <row r="18" spans="1:25" ht="10.25" customHeight="1" x14ac:dyDescent="0.35">
      <c r="A18" s="108"/>
      <c r="B18" s="53">
        <v>2</v>
      </c>
      <c r="C18" s="32" t="str">
        <f ca="1">IFERROR(INDIRECT(ADDRESS(2,MATCH($Q$2,#REF!,0),1,2,"TUAN1")),"")</f>
        <v/>
      </c>
      <c r="D18" s="33"/>
      <c r="E18" s="34"/>
      <c r="F18" s="32"/>
      <c r="G18" s="33" t="str">
        <f ca="1">IFERROR(INDIRECT(ADDRESS(2,MATCH($N$2,#REF!,0),1,2,"TUAN2")),"")</f>
        <v/>
      </c>
      <c r="H18" s="34" t="str">
        <f ca="1">IFERROR(INDIRECT(ADDRESS(2,MATCH($U$2,#REF!,0),1,2,"TUAN2")),"")</f>
        <v/>
      </c>
      <c r="I18" s="32" t="str">
        <f ca="1">IFERROR(INDIRECT(ADDRESS(2,MATCH($Q$2,#REF!,0),1,2,"TUAN3")),"")</f>
        <v/>
      </c>
      <c r="J18" s="33" t="str">
        <f ca="1">IFERROR(INDIRECT(ADDRESS(2,MATCH($N$2,#REF!,0),1,2,"TUAN3")),"")</f>
        <v/>
      </c>
      <c r="K18" s="34" t="str">
        <f ca="1">IFERROR(INDIRECT(ADDRESS(2,MATCH($U$2,#REF!,0),1,2,"TUAN3")),"")</f>
        <v/>
      </c>
      <c r="L18" s="32" t="str">
        <f ca="1">IFERROR(INDIRECT(ADDRESS(2,MATCH($Q$2,#REF!,0),1,2,"TUAN4")),"")</f>
        <v/>
      </c>
      <c r="M18" s="33" t="str">
        <f ca="1">IFERROR(INDIRECT(ADDRESS(2,MATCH($N$2,#REF!,0),1,2,"TUAN4")),"")</f>
        <v/>
      </c>
      <c r="N18" s="34" t="str">
        <f ca="1">IFERROR(INDIRECT(ADDRESS(2,MATCH($U$2,#REF!,0),1,2,"TUAN4")),"")</f>
        <v/>
      </c>
      <c r="O18" s="32" t="str">
        <f ca="1">IFERROR(INDIRECT(ADDRESS(2,MATCH($Q$2,#REF!,0),1,2,"TUAN5")),"")</f>
        <v/>
      </c>
      <c r="P18" s="33" t="str">
        <f ca="1">IFERROR(INDIRECT(ADDRESS(2,MATCH($N$2,#REF!,0),1,2,"TUAN5")),"")</f>
        <v/>
      </c>
      <c r="Q18" s="33" t="str">
        <f ca="1">IFERROR(INDIRECT(ADDRESS(2,MATCH($U$2,#REF!,0),1,2,"TUAN5")),"")</f>
        <v/>
      </c>
      <c r="R18" s="39" t="s">
        <v>33</v>
      </c>
      <c r="S18" s="40" t="str">
        <f ca="1">IF(COUNTIF(F7:H65,"7*")=0,"",COUNTIF(F7:H65,"7*"))</f>
        <v/>
      </c>
      <c r="T18" s="41"/>
      <c r="U18" s="107"/>
    </row>
    <row r="19" spans="1:25" ht="10.25" customHeight="1" x14ac:dyDescent="0.35">
      <c r="A19" s="108"/>
      <c r="B19" s="53">
        <v>3</v>
      </c>
      <c r="C19" s="32" t="str">
        <f ca="1">IFERROR(INDIRECT(ADDRESS(2,MATCH($Q$2,#REF!,0),1,2,"TUAN1")),"")</f>
        <v/>
      </c>
      <c r="D19" s="33"/>
      <c r="E19" s="34"/>
      <c r="F19" s="32"/>
      <c r="G19" s="33" t="str">
        <f ca="1">IFERROR(INDIRECT(ADDRESS(2,MATCH($N$2,#REF!,0),1,2,"TUAN2")),"")</f>
        <v/>
      </c>
      <c r="H19" s="34" t="str">
        <f ca="1">IFERROR(INDIRECT(ADDRESS(2,MATCH($U$2,#REF!,0),1,2,"TUAN2")),"")</f>
        <v/>
      </c>
      <c r="I19" s="32" t="str">
        <f ca="1">IFERROR(INDIRECT(ADDRESS(2,MATCH($Q$2,#REF!,0),1,2,"TUAN3")),"")</f>
        <v/>
      </c>
      <c r="J19" s="33" t="str">
        <f ca="1">IFERROR(INDIRECT(ADDRESS(2,MATCH($N$2,#REF!,0),1,2,"TUAN3")),"")</f>
        <v/>
      </c>
      <c r="K19" s="34" t="str">
        <f ca="1">IFERROR(INDIRECT(ADDRESS(2,MATCH($U$2,#REF!,0),1,2,"TUAN3")),"")</f>
        <v/>
      </c>
      <c r="L19" s="32" t="str">
        <f ca="1">IFERROR(INDIRECT(ADDRESS(2,MATCH($Q$2,#REF!,0),1,2,"TUAN4")),"")</f>
        <v/>
      </c>
      <c r="M19" s="33" t="str">
        <f ca="1">IFERROR(INDIRECT(ADDRESS(2,MATCH($N$2,#REF!,0),1,2,"TUAN4")),"")</f>
        <v/>
      </c>
      <c r="N19" s="34" t="str">
        <f ca="1">IFERROR(INDIRECT(ADDRESS(2,MATCH($U$2,#REF!,0),1,2,"TUAN4")),"")</f>
        <v/>
      </c>
      <c r="O19" s="32" t="str">
        <f ca="1">IFERROR(INDIRECT(ADDRESS(2,MATCH($Q$2,#REF!,0),1,2,"TUAN5")),"")</f>
        <v/>
      </c>
      <c r="P19" s="33" t="str">
        <f ca="1">IFERROR(INDIRECT(ADDRESS(2,MATCH($N$2,#REF!,0),1,2,"TUAN5")),"")</f>
        <v/>
      </c>
      <c r="Q19" s="33" t="str">
        <f ca="1">IFERROR(INDIRECT(ADDRESS(2,MATCH($U$2,#REF!,0),1,2,"TUAN5")),"")</f>
        <v/>
      </c>
      <c r="R19" s="39" t="s">
        <v>31</v>
      </c>
      <c r="S19" s="40" t="str">
        <f ca="1">IF(COUNTIF(F7:H65,"8*")=0,"",COUNTIF(F7:H65,"8*"))</f>
        <v/>
      </c>
      <c r="T19" s="41"/>
      <c r="U19" s="54" t="s">
        <v>38</v>
      </c>
    </row>
    <row r="20" spans="1:25" ht="10.25" customHeight="1" x14ac:dyDescent="0.35">
      <c r="A20" s="108"/>
      <c r="B20" s="53">
        <v>4</v>
      </c>
      <c r="C20" s="32" t="str">
        <f ca="1">IFERROR(INDIRECT(ADDRESS(2,MATCH($Q$2,#REF!,0),1,2,"TUAN1")),"")</f>
        <v/>
      </c>
      <c r="D20" s="33"/>
      <c r="E20" s="34"/>
      <c r="F20" s="32"/>
      <c r="G20" s="33" t="str">
        <f ca="1">IFERROR(INDIRECT(ADDRESS(2,MATCH($N$2,#REF!,0),1,2,"TUAN2")),"")</f>
        <v/>
      </c>
      <c r="H20" s="34" t="str">
        <f ca="1">IFERROR(INDIRECT(ADDRESS(2,MATCH($U$2,#REF!,0),1,2,"TUAN2")),"")</f>
        <v/>
      </c>
      <c r="I20" s="32" t="str">
        <f ca="1">IFERROR(INDIRECT(ADDRESS(2,MATCH($Q$2,#REF!,0),1,2,"TUAN3")),"")</f>
        <v/>
      </c>
      <c r="J20" s="33" t="str">
        <f ca="1">IFERROR(INDIRECT(ADDRESS(2,MATCH($N$2,#REF!,0),1,2,"TUAN3")),"")</f>
        <v/>
      </c>
      <c r="K20" s="34" t="str">
        <f ca="1">IFERROR(INDIRECT(ADDRESS(2,MATCH($U$2,#REF!,0),1,2,"TUAN3")),"")</f>
        <v/>
      </c>
      <c r="L20" s="32" t="str">
        <f ca="1">IFERROR(INDIRECT(ADDRESS(2,MATCH($Q$2,#REF!,0),1,2,"TUAN4")),"")</f>
        <v/>
      </c>
      <c r="M20" s="33" t="str">
        <f ca="1">IFERROR(INDIRECT(ADDRESS(2,MATCH($N$2,#REF!,0),1,2,"TUAN4")),"")</f>
        <v/>
      </c>
      <c r="N20" s="34" t="str">
        <f ca="1">IFERROR(INDIRECT(ADDRESS(2,MATCH($U$2,#REF!,0),1,2,"TUAN4")),"")</f>
        <v/>
      </c>
      <c r="O20" s="32" t="str">
        <f ca="1">IFERROR(INDIRECT(ADDRESS(2,MATCH($Q$2,#REF!,0),1,2,"TUAN5")),"")</f>
        <v/>
      </c>
      <c r="P20" s="33" t="str">
        <f ca="1">IFERROR(INDIRECT(ADDRESS(2,MATCH($N$2,#REF!,0),1,2,"TUAN5")),"")</f>
        <v/>
      </c>
      <c r="Q20" s="33" t="str">
        <f ca="1">IFERROR(INDIRECT(ADDRESS(2,MATCH($U$2,#REF!,0),1,2,"TUAN5")),"")</f>
        <v/>
      </c>
      <c r="R20" s="39" t="s">
        <v>34</v>
      </c>
      <c r="S20" s="40" t="str">
        <f ca="1">IF(COUNTIF(F7:H65,"9*")=0,"",COUNTIF(F7:H65,"9*"))</f>
        <v/>
      </c>
      <c r="T20" s="41"/>
      <c r="U20" s="104">
        <f ca="1">SUM(S17:S23)</f>
        <v>0</v>
      </c>
    </row>
    <row r="21" spans="1:25" ht="10.25" customHeight="1" x14ac:dyDescent="0.35">
      <c r="A21" s="108"/>
      <c r="B21" s="55"/>
      <c r="C21" s="32" t="str">
        <f ca="1">IFERROR(INDIRECT(ADDRESS(2,MATCH($Q$2,#REF!,0),1,2,"TUAN1")),"")</f>
        <v/>
      </c>
      <c r="D21" s="33"/>
      <c r="E21" s="34"/>
      <c r="F21" s="32"/>
      <c r="G21" s="33" t="str">
        <f ca="1">IFERROR(INDIRECT(ADDRESS(2,MATCH($N$2,#REF!,0),1,2,"TUAN2")),"")</f>
        <v/>
      </c>
      <c r="H21" s="34" t="str">
        <f ca="1">IFERROR(INDIRECT(ADDRESS(2,MATCH($U$2,#REF!,0),1,2,"TUAN2")),"")</f>
        <v/>
      </c>
      <c r="I21" s="32" t="str">
        <f ca="1">IFERROR(INDIRECT(ADDRESS(2,MATCH($Q$2,#REF!,0),1,2,"TUAN3")),"")</f>
        <v/>
      </c>
      <c r="J21" s="33" t="str">
        <f ca="1">IFERROR(INDIRECT(ADDRESS(2,MATCH($N$2,#REF!,0),1,2,"TUAN3")),"")</f>
        <v/>
      </c>
      <c r="K21" s="34" t="str">
        <f ca="1">IFERROR(INDIRECT(ADDRESS(2,MATCH($U$2,#REF!,0),1,2,"TUAN3")),"")</f>
        <v/>
      </c>
      <c r="L21" s="32" t="str">
        <f ca="1">IFERROR(INDIRECT(ADDRESS(2,MATCH($Q$2,#REF!,0),1,2,"TUAN4")),"")</f>
        <v/>
      </c>
      <c r="M21" s="33" t="str">
        <f ca="1">IFERROR(INDIRECT(ADDRESS(2,MATCH($N$2,#REF!,0),1,2,"TUAN4")),"")</f>
        <v/>
      </c>
      <c r="N21" s="34" t="str">
        <f ca="1">IFERROR(INDIRECT(ADDRESS(2,MATCH($U$2,#REF!,0),1,2,"TUAN4")),"")</f>
        <v/>
      </c>
      <c r="O21" s="32" t="str">
        <f ca="1">IFERROR(INDIRECT(ADDRESS(2,MATCH($Q$2,#REF!,0),1,2,"TUAN5")),"")</f>
        <v/>
      </c>
      <c r="P21" s="33" t="str">
        <f ca="1">IFERROR(INDIRECT(ADDRESS(2,MATCH($N$2,#REF!,0),1,2,"TUAN5")),"")</f>
        <v/>
      </c>
      <c r="Q21" s="33" t="str">
        <f ca="1">IFERROR(INDIRECT(ADDRESS(2,MATCH($U$2,#REF!,0),1,2,"TUAN5")),"")</f>
        <v/>
      </c>
      <c r="R21" s="39" t="s">
        <v>35</v>
      </c>
      <c r="S21" s="40" t="str">
        <f ca="1">IF(COUNTIF(F7:H65,"10*")=0,"",COUNTIF(F7:H65,"10*"))</f>
        <v/>
      </c>
      <c r="T21" s="41"/>
      <c r="U21" s="104"/>
    </row>
    <row r="22" spans="1:25" ht="10.25" customHeight="1" x14ac:dyDescent="0.35">
      <c r="A22" s="108"/>
      <c r="B22" s="53">
        <v>5</v>
      </c>
      <c r="C22" s="32" t="str">
        <f ca="1">IFERROR(INDIRECT(ADDRESS(2,MATCH($Q$2,#REF!,0),1,2,"TUAN1")),"")</f>
        <v/>
      </c>
      <c r="D22" s="33"/>
      <c r="E22" s="34"/>
      <c r="F22" s="32"/>
      <c r="G22" s="33" t="str">
        <f ca="1">IFERROR(INDIRECT(ADDRESS(2,MATCH($N$2,#REF!,0),1,2,"TUAN2")),"")</f>
        <v/>
      </c>
      <c r="H22" s="34" t="str">
        <f ca="1">IFERROR(INDIRECT(ADDRESS(2,MATCH($U$2,#REF!,0),1,2,"TUAN2")),"")</f>
        <v/>
      </c>
      <c r="I22" s="32" t="str">
        <f ca="1">IFERROR(INDIRECT(ADDRESS(2,MATCH($Q$2,#REF!,0),1,2,"TUAN3")),"")</f>
        <v/>
      </c>
      <c r="J22" s="33" t="str">
        <f ca="1">IFERROR(INDIRECT(ADDRESS(2,MATCH($N$2,#REF!,0),1,2,"TUAN3")),"")</f>
        <v/>
      </c>
      <c r="K22" s="34" t="str">
        <f ca="1">IFERROR(INDIRECT(ADDRESS(2,MATCH($U$2,#REF!,0),1,2,"TUAN3")),"")</f>
        <v/>
      </c>
      <c r="L22" s="32" t="str">
        <f ca="1">IFERROR(INDIRECT(ADDRESS(2,MATCH($Q$2,#REF!,0),1,2,"TUAN4")),"")</f>
        <v/>
      </c>
      <c r="M22" s="33" t="str">
        <f ca="1">IFERROR(INDIRECT(ADDRESS(2,MATCH($N$2,#REF!,0),1,2,"TUAN4")),"")</f>
        <v/>
      </c>
      <c r="N22" s="34" t="str">
        <f ca="1">IFERROR(INDIRECT(ADDRESS(2,MATCH($U$2,#REF!,0),1,2,"TUAN4")),"")</f>
        <v/>
      </c>
      <c r="O22" s="32" t="str">
        <f ca="1">IFERROR(INDIRECT(ADDRESS(2,MATCH($Q$2,#REF!,0),1,2,"TUAN5")),"")</f>
        <v/>
      </c>
      <c r="P22" s="33" t="str">
        <f ca="1">IFERROR(INDIRECT(ADDRESS(2,MATCH($N$2,#REF!,0),1,2,"TUAN5")),"")</f>
        <v/>
      </c>
      <c r="Q22" s="33" t="str">
        <f ca="1">IFERROR(INDIRECT(ADDRESS(2,MATCH($U$2,#REF!,0),1,2,"TUAN5")),"")</f>
        <v/>
      </c>
      <c r="R22" s="39" t="s">
        <v>36</v>
      </c>
      <c r="S22" s="40" t="str">
        <f ca="1">IF(COUNTIF(F7:H65,"11*")=0,"",COUNTIF(F7:H65,"11*"))</f>
        <v/>
      </c>
      <c r="T22" s="41"/>
      <c r="U22" s="104"/>
    </row>
    <row r="23" spans="1:25" ht="10.25" customHeight="1" x14ac:dyDescent="0.35">
      <c r="A23" s="108"/>
      <c r="B23" s="53">
        <v>6</v>
      </c>
      <c r="C23" s="32" t="str">
        <f ca="1">IFERROR(INDIRECT(ADDRESS(2,MATCH($Q$2,#REF!,0),1,2,"TUAN1")),"")</f>
        <v/>
      </c>
      <c r="D23" s="33"/>
      <c r="E23" s="34"/>
      <c r="F23" s="32"/>
      <c r="G23" s="33" t="str">
        <f ca="1">IFERROR(INDIRECT(ADDRESS(2,MATCH($N$2,#REF!,0),1,2,"TUAN2")),"")</f>
        <v/>
      </c>
      <c r="H23" s="34" t="str">
        <f ca="1">IFERROR(INDIRECT(ADDRESS(2,MATCH($U$2,#REF!,0),1,2,"TUAN2")),"")</f>
        <v/>
      </c>
      <c r="I23" s="32" t="str">
        <f ca="1">IFERROR(INDIRECT(ADDRESS(2,MATCH($Q$2,#REF!,0),1,2,"TUAN3")),"")</f>
        <v/>
      </c>
      <c r="J23" s="33" t="str">
        <f ca="1">IFERROR(INDIRECT(ADDRESS(2,MATCH($N$2,#REF!,0),1,2,"TUAN3")),"")</f>
        <v/>
      </c>
      <c r="K23" s="34" t="str">
        <f ca="1">IFERROR(INDIRECT(ADDRESS(2,MATCH($U$2,#REF!,0),1,2,"TUAN3")),"")</f>
        <v/>
      </c>
      <c r="L23" s="32" t="str">
        <f ca="1">IFERROR(INDIRECT(ADDRESS(2,MATCH($Q$2,#REF!,0),1,2,"TUAN4")),"")</f>
        <v/>
      </c>
      <c r="M23" s="33" t="str">
        <f ca="1">IFERROR(INDIRECT(ADDRESS(2,MATCH($N$2,#REF!,0),1,2,"TUAN4")),"")</f>
        <v/>
      </c>
      <c r="N23" s="34" t="str">
        <f ca="1">IFERROR(INDIRECT(ADDRESS(2,MATCH($U$2,#REF!,0),1,2,"TUAN4")),"")</f>
        <v/>
      </c>
      <c r="O23" s="32" t="str">
        <f ca="1">IFERROR(INDIRECT(ADDRESS(2,MATCH($Q$2,#REF!,0),1,2,"TUAN5")),"")</f>
        <v/>
      </c>
      <c r="P23" s="33" t="str">
        <f ca="1">IFERROR(INDIRECT(ADDRESS(2,MATCH($N$2,#REF!,0),1,2,"TUAN5")),"")</f>
        <v/>
      </c>
      <c r="Q23" s="33" t="str">
        <f ca="1">IFERROR(INDIRECT(ADDRESS(2,MATCH($U$2,#REF!,0),1,2,"TUAN5")),"")</f>
        <v/>
      </c>
      <c r="R23" s="39" t="s">
        <v>37</v>
      </c>
      <c r="S23" s="40" t="str">
        <f ca="1">IF(COUNTIF(F7:H65,"KH*")=0,"",COUNTIF(F7:H65,"KH*"))</f>
        <v/>
      </c>
      <c r="T23" s="41"/>
      <c r="U23" s="104"/>
    </row>
    <row r="24" spans="1:25" ht="10.25" customHeight="1" x14ac:dyDescent="0.35">
      <c r="A24" s="108"/>
      <c r="B24" s="53">
        <v>7</v>
      </c>
      <c r="C24" s="32" t="str">
        <f ca="1">IFERROR(INDIRECT(ADDRESS(2,MATCH($Q$2,#REF!,0),1,2,"TUAN1")),"")</f>
        <v/>
      </c>
      <c r="D24" s="33"/>
      <c r="E24" s="34"/>
      <c r="F24" s="32"/>
      <c r="G24" s="33" t="str">
        <f ca="1">IFERROR(INDIRECT(ADDRESS(2,MATCH($N$2,#REF!,0),1,2,"TUAN2")),"")</f>
        <v/>
      </c>
      <c r="H24" s="34" t="str">
        <f ca="1">IFERROR(INDIRECT(ADDRESS(2,MATCH($U$2,#REF!,0),1,2,"TUAN2")),"")</f>
        <v/>
      </c>
      <c r="I24" s="32" t="str">
        <f ca="1">IFERROR(INDIRECT(ADDRESS(2,MATCH($Q$2,#REF!,0),1,2,"TUAN3")),"")</f>
        <v/>
      </c>
      <c r="J24" s="33" t="str">
        <f ca="1">IFERROR(INDIRECT(ADDRESS(2,MATCH($N$2,#REF!,0),1,2,"TUAN3")),"")</f>
        <v/>
      </c>
      <c r="K24" s="34" t="str">
        <f ca="1">IFERROR(INDIRECT(ADDRESS(2,MATCH($U$2,#REF!,0),1,2,"TUAN3")),"")</f>
        <v/>
      </c>
      <c r="L24" s="32" t="str">
        <f ca="1">IFERROR(INDIRECT(ADDRESS(2,MATCH($Q$2,#REF!,0),1,2,"TUAN4")),"")</f>
        <v/>
      </c>
      <c r="M24" s="33" t="str">
        <f ca="1">IFERROR(INDIRECT(ADDRESS(2,MATCH($N$2,#REF!,0),1,2,"TUAN4")),"")</f>
        <v/>
      </c>
      <c r="N24" s="34" t="str">
        <f ca="1">IFERROR(INDIRECT(ADDRESS(2,MATCH($U$2,#REF!,0),1,2,"TUAN4")),"")</f>
        <v/>
      </c>
      <c r="O24" s="32" t="str">
        <f ca="1">IFERROR(INDIRECT(ADDRESS(2,MATCH($Q$2,#REF!,0),1,2,"TUAN5")),"")</f>
        <v/>
      </c>
      <c r="P24" s="33" t="str">
        <f ca="1">IFERROR(INDIRECT(ADDRESS(2,MATCH($N$2,#REF!,0),1,2,"TUAN5")),"")</f>
        <v/>
      </c>
      <c r="Q24" s="33" t="str">
        <f ca="1">IFERROR(INDIRECT(ADDRESS(2,MATCH($U$2,#REF!,0),1,2,"TUAN5")),"")</f>
        <v/>
      </c>
      <c r="R24" s="45"/>
      <c r="S24" s="46"/>
      <c r="T24" s="41"/>
      <c r="U24" s="104"/>
    </row>
    <row r="25" spans="1:25" ht="10.25" customHeight="1" x14ac:dyDescent="0.35">
      <c r="A25" s="108"/>
      <c r="B25" s="53">
        <v>8</v>
      </c>
      <c r="C25" s="32" t="str">
        <f ca="1">IFERROR(INDIRECT(ADDRESS(2,MATCH($Q$2,#REF!,0),1,2,"TUAN1")),"")</f>
        <v/>
      </c>
      <c r="D25" s="33"/>
      <c r="E25" s="34"/>
      <c r="F25" s="32"/>
      <c r="G25" s="33" t="str">
        <f ca="1">IFERROR(INDIRECT(ADDRESS(2,MATCH($N$2,#REF!,0),1,2,"TUAN2")),"")</f>
        <v/>
      </c>
      <c r="H25" s="34" t="str">
        <f ca="1">IFERROR(INDIRECT(ADDRESS(2,MATCH($U$2,#REF!,0),1,2,"TUAN2")),"")</f>
        <v/>
      </c>
      <c r="I25" s="32" t="str">
        <f ca="1">IFERROR(INDIRECT(ADDRESS(2,MATCH($Q$2,#REF!,0),1,2,"TUAN3")),"")</f>
        <v/>
      </c>
      <c r="J25" s="33" t="str">
        <f ca="1">IFERROR(INDIRECT(ADDRESS(2,MATCH($N$2,#REF!,0),1,2,"TUAN3")),"")</f>
        <v/>
      </c>
      <c r="K25" s="34" t="str">
        <f ca="1">IFERROR(INDIRECT(ADDRESS(2,MATCH($U$2,#REF!,0),1,2,"TUAN3")),"")</f>
        <v/>
      </c>
      <c r="L25" s="32" t="str">
        <f ca="1">IFERROR(INDIRECT(ADDRESS(2,MATCH($Q$2,#REF!,0),1,2,"TUAN4")),"")</f>
        <v/>
      </c>
      <c r="M25" s="33" t="str">
        <f ca="1">IFERROR(INDIRECT(ADDRESS(2,MATCH($N$2,#REF!,0),1,2,"TUAN4")),"")</f>
        <v/>
      </c>
      <c r="N25" s="34" t="str">
        <f ca="1">IFERROR(INDIRECT(ADDRESS(2,MATCH($U$2,#REF!,0),1,2,"TUAN4")),"")</f>
        <v/>
      </c>
      <c r="O25" s="32" t="str">
        <f ca="1">IFERROR(INDIRECT(ADDRESS(2,MATCH($Q$2,#REF!,0),1,2,"TUAN5")),"")</f>
        <v/>
      </c>
      <c r="P25" s="33" t="str">
        <f ca="1">IFERROR(INDIRECT(ADDRESS(2,MATCH($N$2,#REF!,0),1,2,"TUAN5")),"")</f>
        <v/>
      </c>
      <c r="Q25" s="33" t="str">
        <f ca="1">IFERROR(INDIRECT(ADDRESS(2,MATCH($U$2,#REF!,0),1,2,"TUAN5")),"")</f>
        <v/>
      </c>
      <c r="R25" s="45"/>
      <c r="S25" s="46"/>
      <c r="T25" s="41"/>
      <c r="U25" s="104"/>
    </row>
    <row r="26" spans="1:25" s="52" customFormat="1" ht="10.25" customHeight="1" thickBot="1" x14ac:dyDescent="0.4">
      <c r="A26" s="47"/>
      <c r="B26" s="48"/>
      <c r="C26" s="32" t="str">
        <f ca="1">IFERROR(INDIRECT(ADDRESS(2,MATCH($Q$2,#REF!,0),1,2,"TUAN1")),"")</f>
        <v/>
      </c>
      <c r="D26" s="33"/>
      <c r="E26" s="34"/>
      <c r="F26" s="32"/>
      <c r="G26" s="33" t="str">
        <f ca="1">IFERROR(INDIRECT(ADDRESS(2,MATCH($N$2,#REF!,0),1,2,"TUAN2")),"")</f>
        <v/>
      </c>
      <c r="H26" s="34" t="str">
        <f ca="1">IFERROR(INDIRECT(ADDRESS(2,MATCH($U$2,#REF!,0),1,2,"TUAN2")),"")</f>
        <v/>
      </c>
      <c r="I26" s="32" t="str">
        <f ca="1">IFERROR(INDIRECT(ADDRESS(2,MATCH($Q$2,#REF!,0),1,2,"TUAN3")),"")</f>
        <v/>
      </c>
      <c r="J26" s="33" t="str">
        <f ca="1">IFERROR(INDIRECT(ADDRESS(2,MATCH($N$2,#REF!,0),1,2,"TUAN3")),"")</f>
        <v/>
      </c>
      <c r="K26" s="34" t="str">
        <f ca="1">IFERROR(INDIRECT(ADDRESS(2,MATCH($U$2,#REF!,0),1,2,"TUAN3")),"")</f>
        <v/>
      </c>
      <c r="L26" s="32" t="str">
        <f ca="1">IFERROR(INDIRECT(ADDRESS(2,MATCH($Q$2,#REF!,0),1,2,"TUAN4")),"")</f>
        <v/>
      </c>
      <c r="M26" s="33" t="str">
        <f ca="1">IFERROR(INDIRECT(ADDRESS(2,MATCH($N$2,#REF!,0),1,2,"TUAN4")),"")</f>
        <v/>
      </c>
      <c r="N26" s="34" t="str">
        <f ca="1">IFERROR(INDIRECT(ADDRESS(2,MATCH($U$2,#REF!,0),1,2,"TUAN4")),"")</f>
        <v/>
      </c>
      <c r="O26" s="32" t="str">
        <f ca="1">IFERROR(INDIRECT(ADDRESS(2,MATCH($Q$2,#REF!,0),1,2,"TUAN5")),"")</f>
        <v/>
      </c>
      <c r="P26" s="33" t="str">
        <f ca="1">IFERROR(INDIRECT(ADDRESS(2,MATCH($N$2,#REF!,0),1,2,"TUAN5")),"")</f>
        <v/>
      </c>
      <c r="Q26" s="33" t="str">
        <f ca="1">IFERROR(INDIRECT(ADDRESS(2,MATCH($U$2,#REF!,0),1,2,"TUAN5")),"")</f>
        <v/>
      </c>
      <c r="R26" s="49"/>
      <c r="S26" s="50"/>
      <c r="T26" s="51"/>
      <c r="U26" s="105"/>
      <c r="X26"/>
      <c r="Y26"/>
    </row>
    <row r="27" spans="1:25" ht="10.25" customHeight="1" x14ac:dyDescent="0.35">
      <c r="A27" s="109" t="s">
        <v>2</v>
      </c>
      <c r="B27" s="31">
        <v>1</v>
      </c>
      <c r="C27" s="32" t="str">
        <f ca="1">IFERROR(INDIRECT(ADDRESS(2,MATCH($Q$2,#REF!,0),1,2,"TUAN1")),"")</f>
        <v/>
      </c>
      <c r="D27" s="33"/>
      <c r="E27" s="34"/>
      <c r="F27" s="32"/>
      <c r="G27" s="33" t="str">
        <f ca="1">IFERROR(INDIRECT(ADDRESS(2,MATCH($N$2,#REF!,0),1,2,"TUAN2")),"")</f>
        <v/>
      </c>
      <c r="H27" s="34" t="str">
        <f ca="1">IFERROR(INDIRECT(ADDRESS(2,MATCH($U$2,#REF!,0),1,2,"TUAN2")),"")</f>
        <v/>
      </c>
      <c r="I27" s="32" t="str">
        <f ca="1">IFERROR(INDIRECT(ADDRESS(2,MATCH($Q$2,#REF!,0),1,2,"TUAN3")),"")</f>
        <v/>
      </c>
      <c r="J27" s="33" t="str">
        <f ca="1">IFERROR(INDIRECT(ADDRESS(2,MATCH($N$2,#REF!,0),1,2,"TUAN3")),"")</f>
        <v/>
      </c>
      <c r="K27" s="34" t="str">
        <f ca="1">IFERROR(INDIRECT(ADDRESS(2,MATCH($U$2,#REF!,0),1,2,"TUAN3")),"")</f>
        <v/>
      </c>
      <c r="L27" s="32" t="str">
        <f ca="1">IFERROR(INDIRECT(ADDRESS(2,MATCH($Q$2,#REF!,0),1,2,"TUAN4")),"")</f>
        <v/>
      </c>
      <c r="M27" s="33" t="str">
        <f ca="1">IFERROR(INDIRECT(ADDRESS(2,MATCH($N$2,#REF!,0),1,2,"TUAN4")),"")</f>
        <v/>
      </c>
      <c r="N27" s="34" t="str">
        <f ca="1">IFERROR(INDIRECT(ADDRESS(2,MATCH($U$2,#REF!,0),1,2,"TUAN4")),"")</f>
        <v/>
      </c>
      <c r="O27" s="32" t="str">
        <f ca="1">IFERROR(INDIRECT(ADDRESS(2,MATCH($Q$2,#REF!,0),1,2,"TUAN5")),"")</f>
        <v/>
      </c>
      <c r="P27" s="33" t="str">
        <f ca="1">IFERROR(INDIRECT(ADDRESS(2,MATCH($N$2,#REF!,0),1,2,"TUAN5")),"")</f>
        <v/>
      </c>
      <c r="Q27" s="33" t="str">
        <f ca="1">IFERROR(INDIRECT(ADDRESS(2,MATCH($U$2,#REF!,0),1,2,"TUAN5")),"")</f>
        <v/>
      </c>
      <c r="R27" s="35" t="s">
        <v>32</v>
      </c>
      <c r="S27" s="36" t="str">
        <f ca="1">IF(COUNTIF(I7:K65,"6*")=0,"",COUNTIF(I7:K65,"6*"))</f>
        <v/>
      </c>
      <c r="T27" s="37"/>
      <c r="U27" s="106" t="s">
        <v>12</v>
      </c>
    </row>
    <row r="28" spans="1:25" ht="10.25" customHeight="1" x14ac:dyDescent="0.35">
      <c r="A28" s="109"/>
      <c r="B28" s="31">
        <v>2</v>
      </c>
      <c r="C28" s="32" t="str">
        <f ca="1">IFERROR(INDIRECT(ADDRESS(2,MATCH($Q$2,#REF!,0),1,2,"TUAN1")),"")</f>
        <v/>
      </c>
      <c r="D28" s="33"/>
      <c r="E28" s="34"/>
      <c r="F28" s="32"/>
      <c r="G28" s="33" t="str">
        <f ca="1">IFERROR(INDIRECT(ADDRESS(2,MATCH($N$2,#REF!,0),1,2,"TUAN2")),"")</f>
        <v/>
      </c>
      <c r="H28" s="34" t="str">
        <f ca="1">IFERROR(INDIRECT(ADDRESS(2,MATCH($U$2,#REF!,0),1,2,"TUAN2")),"")</f>
        <v/>
      </c>
      <c r="I28" s="32" t="str">
        <f ca="1">IFERROR(INDIRECT(ADDRESS(2,MATCH($Q$2,#REF!,0),1,2,"TUAN3")),"")</f>
        <v/>
      </c>
      <c r="J28" s="33" t="str">
        <f ca="1">IFERROR(INDIRECT(ADDRESS(2,MATCH($N$2,#REF!,0),1,2,"TUAN3")),"")</f>
        <v/>
      </c>
      <c r="K28" s="34" t="str">
        <f ca="1">IFERROR(INDIRECT(ADDRESS(2,MATCH($U$2,#REF!,0),1,2,"TUAN3")),"")</f>
        <v/>
      </c>
      <c r="L28" s="32" t="str">
        <f ca="1">IFERROR(INDIRECT(ADDRESS(2,MATCH($Q$2,#REF!,0),1,2,"TUAN4")),"")</f>
        <v/>
      </c>
      <c r="M28" s="33" t="str">
        <f ca="1">IFERROR(INDIRECT(ADDRESS(2,MATCH($N$2,#REF!,0),1,2,"TUAN4")),"")</f>
        <v/>
      </c>
      <c r="N28" s="34" t="str">
        <f ca="1">IFERROR(INDIRECT(ADDRESS(2,MATCH($U$2,#REF!,0),1,2,"TUAN4")),"")</f>
        <v/>
      </c>
      <c r="O28" s="32" t="str">
        <f ca="1">IFERROR(INDIRECT(ADDRESS(2,MATCH($Q$2,#REF!,0),1,2,"TUAN5")),"")</f>
        <v/>
      </c>
      <c r="P28" s="33" t="str">
        <f ca="1">IFERROR(INDIRECT(ADDRESS(2,MATCH($N$2,#REF!,0),1,2,"TUAN5")),"")</f>
        <v/>
      </c>
      <c r="Q28" s="33" t="str">
        <f ca="1">IFERROR(INDIRECT(ADDRESS(2,MATCH($U$2,#REF!,0),1,2,"TUAN5")),"")</f>
        <v/>
      </c>
      <c r="R28" s="39" t="s">
        <v>33</v>
      </c>
      <c r="S28" s="40" t="str">
        <f ca="1">IF(COUNTIF(I7:K65,"7*")=0,"",COUNTIF(I7:K65,"7*"))</f>
        <v/>
      </c>
      <c r="T28" s="41"/>
      <c r="U28" s="107"/>
    </row>
    <row r="29" spans="1:25" ht="10.25" customHeight="1" x14ac:dyDescent="0.35">
      <c r="A29" s="109"/>
      <c r="B29" s="31">
        <v>3</v>
      </c>
      <c r="C29" s="32" t="str">
        <f ca="1">IFERROR(INDIRECT(ADDRESS(2,MATCH($Q$2,#REF!,0),1,2,"TUAN1")),"")</f>
        <v/>
      </c>
      <c r="D29" s="33"/>
      <c r="E29" s="34"/>
      <c r="F29" s="32"/>
      <c r="G29" s="33" t="str">
        <f ca="1">IFERROR(INDIRECT(ADDRESS(2,MATCH($N$2,#REF!,0),1,2,"TUAN2")),"")</f>
        <v/>
      </c>
      <c r="H29" s="34" t="str">
        <f ca="1">IFERROR(INDIRECT(ADDRESS(2,MATCH($U$2,#REF!,0),1,2,"TUAN2")),"")</f>
        <v/>
      </c>
      <c r="I29" s="32" t="str">
        <f ca="1">IFERROR(INDIRECT(ADDRESS(2,MATCH($Q$2,#REF!,0),1,2,"TUAN3")),"")</f>
        <v/>
      </c>
      <c r="J29" s="33" t="str">
        <f ca="1">IFERROR(INDIRECT(ADDRESS(2,MATCH($N$2,#REF!,0),1,2,"TUAN3")),"")</f>
        <v/>
      </c>
      <c r="K29" s="34" t="str">
        <f ca="1">IFERROR(INDIRECT(ADDRESS(2,MATCH($U$2,#REF!,0),1,2,"TUAN3")),"")</f>
        <v/>
      </c>
      <c r="L29" s="32" t="str">
        <f ca="1">IFERROR(INDIRECT(ADDRESS(2,MATCH($Q$2,#REF!,0),1,2,"TUAN4")),"")</f>
        <v/>
      </c>
      <c r="M29" s="33" t="str">
        <f ca="1">IFERROR(INDIRECT(ADDRESS(2,MATCH($N$2,#REF!,0),1,2,"TUAN4")),"")</f>
        <v/>
      </c>
      <c r="N29" s="34" t="str">
        <f ca="1">IFERROR(INDIRECT(ADDRESS(2,MATCH($U$2,#REF!,0),1,2,"TUAN4")),"")</f>
        <v/>
      </c>
      <c r="O29" s="32" t="str">
        <f ca="1">IFERROR(INDIRECT(ADDRESS(2,MATCH($Q$2,#REF!,0),1,2,"TUAN5")),"")</f>
        <v/>
      </c>
      <c r="P29" s="33" t="str">
        <f ca="1">IFERROR(INDIRECT(ADDRESS(2,MATCH($N$2,#REF!,0),1,2,"TUAN5")),"")</f>
        <v/>
      </c>
      <c r="Q29" s="33" t="str">
        <f ca="1">IFERROR(INDIRECT(ADDRESS(2,MATCH($U$2,#REF!,0),1,2,"TUAN5")),"")</f>
        <v/>
      </c>
      <c r="R29" s="39" t="s">
        <v>41</v>
      </c>
      <c r="S29" s="40" t="str">
        <f ca="1">IF(COUNTIF(I7:K65,"8*")=0,"",COUNTIF(I7:K65,"8*"))</f>
        <v/>
      </c>
      <c r="T29" s="41"/>
      <c r="U29" s="54" t="s">
        <v>38</v>
      </c>
    </row>
    <row r="30" spans="1:25" ht="10.25" customHeight="1" x14ac:dyDescent="0.35">
      <c r="A30" s="109"/>
      <c r="B30" s="31">
        <v>4</v>
      </c>
      <c r="C30" s="32" t="str">
        <f ca="1">IFERROR(INDIRECT(ADDRESS(2,MATCH($Q$2,#REF!,0),1,2,"TUAN1")),"")</f>
        <v/>
      </c>
      <c r="D30" s="33"/>
      <c r="E30" s="34"/>
      <c r="F30" s="32"/>
      <c r="G30" s="33" t="str">
        <f ca="1">IFERROR(INDIRECT(ADDRESS(2,MATCH($N$2,#REF!,0),1,2,"TUAN2")),"")</f>
        <v/>
      </c>
      <c r="H30" s="34" t="str">
        <f ca="1">IFERROR(INDIRECT(ADDRESS(2,MATCH($U$2,#REF!,0),1,2,"TUAN2")),"")</f>
        <v/>
      </c>
      <c r="I30" s="32" t="str">
        <f ca="1">IFERROR(INDIRECT(ADDRESS(2,MATCH($Q$2,#REF!,0),1,2,"TUAN3")),"")</f>
        <v/>
      </c>
      <c r="J30" s="33" t="str">
        <f ca="1">IFERROR(INDIRECT(ADDRESS(2,MATCH($N$2,#REF!,0),1,2,"TUAN3")),"")</f>
        <v/>
      </c>
      <c r="K30" s="34" t="str">
        <f ca="1">IFERROR(INDIRECT(ADDRESS(2,MATCH($U$2,#REF!,0),1,2,"TUAN3")),"")</f>
        <v/>
      </c>
      <c r="L30" s="32" t="str">
        <f ca="1">IFERROR(INDIRECT(ADDRESS(2,MATCH($Q$2,#REF!,0),1,2,"TUAN4")),"")</f>
        <v/>
      </c>
      <c r="M30" s="33" t="str">
        <f ca="1">IFERROR(INDIRECT(ADDRESS(2,MATCH($N$2,#REF!,0),1,2,"TUAN4")),"")</f>
        <v/>
      </c>
      <c r="N30" s="34" t="str">
        <f ca="1">IFERROR(INDIRECT(ADDRESS(2,MATCH($U$2,#REF!,0),1,2,"TUAN4")),"")</f>
        <v/>
      </c>
      <c r="O30" s="32" t="str">
        <f ca="1">IFERROR(INDIRECT(ADDRESS(2,MATCH($Q$2,#REF!,0),1,2,"TUAN5")),"")</f>
        <v/>
      </c>
      <c r="P30" s="33" t="str">
        <f ca="1">IFERROR(INDIRECT(ADDRESS(2,MATCH($N$2,#REF!,0),1,2,"TUAN5")),"")</f>
        <v/>
      </c>
      <c r="Q30" s="33" t="str">
        <f ca="1">IFERROR(INDIRECT(ADDRESS(2,MATCH($U$2,#REF!,0),1,2,"TUAN5")),"")</f>
        <v/>
      </c>
      <c r="R30" s="39" t="s">
        <v>34</v>
      </c>
      <c r="S30" s="40" t="str">
        <f ca="1">IF(COUNTIF(I7:K65,"9*")=0,"",COUNTIF(I7:K65,"9*"))</f>
        <v/>
      </c>
      <c r="T30" s="41"/>
      <c r="U30" s="104">
        <f ca="1">SUM(S27:S33)</f>
        <v>0</v>
      </c>
    </row>
    <row r="31" spans="1:25" ht="10.25" customHeight="1" x14ac:dyDescent="0.35">
      <c r="A31" s="109"/>
      <c r="B31" s="44"/>
      <c r="C31" s="32" t="str">
        <f ca="1">IFERROR(INDIRECT(ADDRESS(2,MATCH($Q$2,#REF!,0),1,2,"TUAN1")),"")</f>
        <v/>
      </c>
      <c r="D31" s="33"/>
      <c r="E31" s="34"/>
      <c r="F31" s="32"/>
      <c r="G31" s="33" t="str">
        <f ca="1">IFERROR(INDIRECT(ADDRESS(2,MATCH($N$2,#REF!,0),1,2,"TUAN2")),"")</f>
        <v/>
      </c>
      <c r="H31" s="34" t="str">
        <f ca="1">IFERROR(INDIRECT(ADDRESS(2,MATCH($U$2,#REF!,0),1,2,"TUAN2")),"")</f>
        <v/>
      </c>
      <c r="I31" s="32" t="str">
        <f ca="1">IFERROR(INDIRECT(ADDRESS(2,MATCH($Q$2,#REF!,0),1,2,"TUAN3")),"")</f>
        <v/>
      </c>
      <c r="J31" s="33" t="str">
        <f ca="1">IFERROR(INDIRECT(ADDRESS(2,MATCH($N$2,#REF!,0),1,2,"TUAN3")),"")</f>
        <v/>
      </c>
      <c r="K31" s="34" t="str">
        <f ca="1">IFERROR(INDIRECT(ADDRESS(2,MATCH($U$2,#REF!,0),1,2,"TUAN3")),"")</f>
        <v/>
      </c>
      <c r="L31" s="32" t="str">
        <f ca="1">IFERROR(INDIRECT(ADDRESS(2,MATCH($Q$2,#REF!,0),1,2,"TUAN4")),"")</f>
        <v/>
      </c>
      <c r="M31" s="33" t="str">
        <f ca="1">IFERROR(INDIRECT(ADDRESS(2,MATCH($N$2,#REF!,0),1,2,"TUAN4")),"")</f>
        <v/>
      </c>
      <c r="N31" s="34" t="str">
        <f ca="1">IFERROR(INDIRECT(ADDRESS(2,MATCH($U$2,#REF!,0),1,2,"TUAN4")),"")</f>
        <v/>
      </c>
      <c r="O31" s="32" t="str">
        <f ca="1">IFERROR(INDIRECT(ADDRESS(2,MATCH($Q$2,#REF!,0),1,2,"TUAN5")),"")</f>
        <v/>
      </c>
      <c r="P31" s="33" t="str">
        <f ca="1">IFERROR(INDIRECT(ADDRESS(2,MATCH($N$2,#REF!,0),1,2,"TUAN5")),"")</f>
        <v/>
      </c>
      <c r="Q31" s="33" t="str">
        <f ca="1">IFERROR(INDIRECT(ADDRESS(2,MATCH($U$2,#REF!,0),1,2,"TUAN5")),"")</f>
        <v/>
      </c>
      <c r="R31" s="39" t="s">
        <v>35</v>
      </c>
      <c r="S31" s="40" t="str">
        <f ca="1">IF(COUNTIF(I7:K65,"10*")=0,"",COUNTIF(I7:K65,"10*"))</f>
        <v/>
      </c>
      <c r="T31" s="41"/>
      <c r="U31" s="104"/>
    </row>
    <row r="32" spans="1:25" ht="10.25" customHeight="1" x14ac:dyDescent="0.35">
      <c r="A32" s="109"/>
      <c r="B32" s="31">
        <v>5</v>
      </c>
      <c r="C32" s="32" t="str">
        <f ca="1">IFERROR(INDIRECT(ADDRESS(2,MATCH($Q$2,#REF!,0),1,2,"TUAN1")),"")</f>
        <v/>
      </c>
      <c r="D32" s="33"/>
      <c r="E32" s="34"/>
      <c r="F32" s="32"/>
      <c r="G32" s="33" t="str">
        <f ca="1">IFERROR(INDIRECT(ADDRESS(2,MATCH($N$2,#REF!,0),1,2,"TUAN2")),"")</f>
        <v/>
      </c>
      <c r="H32" s="34" t="str">
        <f ca="1">IFERROR(INDIRECT(ADDRESS(2,MATCH($U$2,#REF!,0),1,2,"TUAN2")),"")</f>
        <v/>
      </c>
      <c r="I32" s="32" t="str">
        <f ca="1">IFERROR(INDIRECT(ADDRESS(2,MATCH($Q$2,#REF!,0),1,2,"TUAN3")),"")</f>
        <v/>
      </c>
      <c r="J32" s="33" t="str">
        <f ca="1">IFERROR(INDIRECT(ADDRESS(2,MATCH($N$2,#REF!,0),1,2,"TUAN3")),"")</f>
        <v/>
      </c>
      <c r="K32" s="34" t="str">
        <f ca="1">IFERROR(INDIRECT(ADDRESS(2,MATCH($U$2,#REF!,0),1,2,"TUAN3")),"")</f>
        <v/>
      </c>
      <c r="L32" s="32" t="str">
        <f ca="1">IFERROR(INDIRECT(ADDRESS(2,MATCH($Q$2,#REF!,0),1,2,"TUAN4")),"")</f>
        <v/>
      </c>
      <c r="M32" s="33" t="str">
        <f ca="1">IFERROR(INDIRECT(ADDRESS(2,MATCH($N$2,#REF!,0),1,2,"TUAN4")),"")</f>
        <v/>
      </c>
      <c r="N32" s="34" t="str">
        <f ca="1">IFERROR(INDIRECT(ADDRESS(2,MATCH($U$2,#REF!,0),1,2,"TUAN4")),"")</f>
        <v/>
      </c>
      <c r="O32" s="32" t="str">
        <f ca="1">IFERROR(INDIRECT(ADDRESS(2,MATCH($Q$2,#REF!,0),1,2,"TUAN5")),"")</f>
        <v/>
      </c>
      <c r="P32" s="33" t="str">
        <f ca="1">IFERROR(INDIRECT(ADDRESS(2,MATCH($N$2,#REF!,0),1,2,"TUAN5")),"")</f>
        <v/>
      </c>
      <c r="Q32" s="33" t="str">
        <f ca="1">IFERROR(INDIRECT(ADDRESS(2,MATCH($U$2,#REF!,0),1,2,"TUAN5")),"")</f>
        <v/>
      </c>
      <c r="R32" s="39" t="s">
        <v>36</v>
      </c>
      <c r="S32" s="40" t="str">
        <f ca="1">IF(COUNTIF(I7:K65,"11*")=0,"",COUNTIF(I7:K65,"11*"))</f>
        <v/>
      </c>
      <c r="T32" s="41"/>
      <c r="U32" s="104"/>
    </row>
    <row r="33" spans="1:25" ht="10.25" customHeight="1" x14ac:dyDescent="0.35">
      <c r="A33" s="109"/>
      <c r="B33" s="31">
        <v>6</v>
      </c>
      <c r="C33" s="32" t="str">
        <f ca="1">IFERROR(INDIRECT(ADDRESS(2,MATCH($Q$2,#REF!,0),1,2,"TUAN1")),"")</f>
        <v/>
      </c>
      <c r="D33" s="33"/>
      <c r="E33" s="34"/>
      <c r="F33" s="32"/>
      <c r="G33" s="33" t="str">
        <f ca="1">IFERROR(INDIRECT(ADDRESS(2,MATCH($N$2,#REF!,0),1,2,"TUAN2")),"")</f>
        <v/>
      </c>
      <c r="H33" s="34" t="str">
        <f ca="1">IFERROR(INDIRECT(ADDRESS(2,MATCH($U$2,#REF!,0),1,2,"TUAN2")),"")</f>
        <v/>
      </c>
      <c r="I33" s="32" t="str">
        <f ca="1">IFERROR(INDIRECT(ADDRESS(2,MATCH($Q$2,#REF!,0),1,2,"TUAN3")),"")</f>
        <v/>
      </c>
      <c r="J33" s="33" t="str">
        <f ca="1">IFERROR(INDIRECT(ADDRESS(2,MATCH($N$2,#REF!,0),1,2,"TUAN3")),"")</f>
        <v/>
      </c>
      <c r="K33" s="34" t="str">
        <f ca="1">IFERROR(INDIRECT(ADDRESS(2,MATCH($U$2,#REF!,0),1,2,"TUAN3")),"")</f>
        <v/>
      </c>
      <c r="L33" s="32" t="str">
        <f ca="1">IFERROR(INDIRECT(ADDRESS(2,MATCH($Q$2,#REF!,0),1,2,"TUAN4")),"")</f>
        <v/>
      </c>
      <c r="M33" s="33" t="str">
        <f ca="1">IFERROR(INDIRECT(ADDRESS(2,MATCH($N$2,#REF!,0),1,2,"TUAN4")),"")</f>
        <v/>
      </c>
      <c r="N33" s="34" t="str">
        <f ca="1">IFERROR(INDIRECT(ADDRESS(2,MATCH($U$2,#REF!,0),1,2,"TUAN4")),"")</f>
        <v/>
      </c>
      <c r="O33" s="32" t="str">
        <f ca="1">IFERROR(INDIRECT(ADDRESS(2,MATCH($Q$2,#REF!,0),1,2,"TUAN5")),"")</f>
        <v/>
      </c>
      <c r="P33" s="33" t="str">
        <f ca="1">IFERROR(INDIRECT(ADDRESS(2,MATCH($N$2,#REF!,0),1,2,"TUAN5")),"")</f>
        <v/>
      </c>
      <c r="Q33" s="33" t="str">
        <f ca="1">IFERROR(INDIRECT(ADDRESS(2,MATCH($U$2,#REF!,0),1,2,"TUAN5")),"")</f>
        <v/>
      </c>
      <c r="R33" s="39" t="s">
        <v>37</v>
      </c>
      <c r="S33" s="40" t="str">
        <f ca="1">IF(COUNTIF(I7:K65,"KH*")=0,"",COUNTIF(I7:K65,"KH*"))</f>
        <v/>
      </c>
      <c r="T33" s="41"/>
      <c r="U33" s="104"/>
    </row>
    <row r="34" spans="1:25" ht="10.25" customHeight="1" x14ac:dyDescent="0.35">
      <c r="A34" s="109"/>
      <c r="B34" s="31">
        <v>7</v>
      </c>
      <c r="C34" s="32" t="str">
        <f ca="1">IFERROR(INDIRECT(ADDRESS(2,MATCH($Q$2,#REF!,0),1,2,"TUAN1")),"")</f>
        <v/>
      </c>
      <c r="D34" s="33"/>
      <c r="E34" s="34"/>
      <c r="F34" s="32"/>
      <c r="G34" s="33" t="str">
        <f ca="1">IFERROR(INDIRECT(ADDRESS(2,MATCH($N$2,#REF!,0),1,2,"TUAN2")),"")</f>
        <v/>
      </c>
      <c r="H34" s="34" t="str">
        <f ca="1">IFERROR(INDIRECT(ADDRESS(2,MATCH($U$2,#REF!,0),1,2,"TUAN2")),"")</f>
        <v/>
      </c>
      <c r="I34" s="32" t="str">
        <f ca="1">IFERROR(INDIRECT(ADDRESS(2,MATCH($Q$2,#REF!,0),1,2,"TUAN3")),"")</f>
        <v/>
      </c>
      <c r="J34" s="33" t="str">
        <f ca="1">IFERROR(INDIRECT(ADDRESS(2,MATCH($N$2,#REF!,0),1,2,"TUAN3")),"")</f>
        <v/>
      </c>
      <c r="K34" s="34" t="str">
        <f ca="1">IFERROR(INDIRECT(ADDRESS(2,MATCH($U$2,#REF!,0),1,2,"TUAN3")),"")</f>
        <v/>
      </c>
      <c r="L34" s="32" t="str">
        <f ca="1">IFERROR(INDIRECT(ADDRESS(2,MATCH($Q$2,#REF!,0),1,2,"TUAN4")),"")</f>
        <v/>
      </c>
      <c r="M34" s="33" t="str">
        <f ca="1">IFERROR(INDIRECT(ADDRESS(2,MATCH($N$2,#REF!,0),1,2,"TUAN4")),"")</f>
        <v/>
      </c>
      <c r="N34" s="34" t="str">
        <f ca="1">IFERROR(INDIRECT(ADDRESS(2,MATCH($U$2,#REF!,0),1,2,"TUAN4")),"")</f>
        <v/>
      </c>
      <c r="O34" s="32" t="str">
        <f ca="1">IFERROR(INDIRECT(ADDRESS(2,MATCH($Q$2,#REF!,0),1,2,"TUAN5")),"")</f>
        <v/>
      </c>
      <c r="P34" s="33" t="str">
        <f ca="1">IFERROR(INDIRECT(ADDRESS(2,MATCH($N$2,#REF!,0),1,2,"TUAN5")),"")</f>
        <v/>
      </c>
      <c r="Q34" s="33" t="str">
        <f ca="1">IFERROR(INDIRECT(ADDRESS(2,MATCH($U$2,#REF!,0),1,2,"TUAN5")),"")</f>
        <v/>
      </c>
      <c r="R34" s="45"/>
      <c r="S34" s="46"/>
      <c r="T34" s="41"/>
      <c r="U34" s="104"/>
    </row>
    <row r="35" spans="1:25" ht="10.25" customHeight="1" x14ac:dyDescent="0.35">
      <c r="A35" s="109"/>
      <c r="B35" s="31">
        <v>8</v>
      </c>
      <c r="C35" s="32" t="str">
        <f ca="1">IFERROR(INDIRECT(ADDRESS(2,MATCH($Q$2,#REF!,0),1,2,"TUAN1")),"")</f>
        <v/>
      </c>
      <c r="D35" s="33"/>
      <c r="E35" s="34"/>
      <c r="F35" s="32"/>
      <c r="G35" s="33" t="str">
        <f ca="1">IFERROR(INDIRECT(ADDRESS(2,MATCH($N$2,#REF!,0),1,2,"TUAN2")),"")</f>
        <v/>
      </c>
      <c r="H35" s="34" t="str">
        <f ca="1">IFERROR(INDIRECT(ADDRESS(2,MATCH($U$2,#REF!,0),1,2,"TUAN2")),"")</f>
        <v/>
      </c>
      <c r="I35" s="32" t="str">
        <f ca="1">IFERROR(INDIRECT(ADDRESS(2,MATCH($Q$2,#REF!,0),1,2,"TUAN3")),"")</f>
        <v/>
      </c>
      <c r="J35" s="33" t="str">
        <f ca="1">IFERROR(INDIRECT(ADDRESS(2,MATCH($N$2,#REF!,0),1,2,"TUAN3")),"")</f>
        <v/>
      </c>
      <c r="K35" s="34" t="str">
        <f ca="1">IFERROR(INDIRECT(ADDRESS(2,MATCH($U$2,#REF!,0),1,2,"TUAN3")),"")</f>
        <v/>
      </c>
      <c r="L35" s="32" t="str">
        <f ca="1">IFERROR(INDIRECT(ADDRESS(2,MATCH($Q$2,#REF!,0),1,2,"TUAN4")),"")</f>
        <v/>
      </c>
      <c r="M35" s="33" t="str">
        <f ca="1">IFERROR(INDIRECT(ADDRESS(2,MATCH($N$2,#REF!,0),1,2,"TUAN4")),"")</f>
        <v/>
      </c>
      <c r="N35" s="34" t="str">
        <f ca="1">IFERROR(INDIRECT(ADDRESS(2,MATCH($U$2,#REF!,0),1,2,"TUAN4")),"")</f>
        <v/>
      </c>
      <c r="O35" s="32" t="str">
        <f ca="1">IFERROR(INDIRECT(ADDRESS(2,MATCH($Q$2,#REF!,0),1,2,"TUAN5")),"")</f>
        <v/>
      </c>
      <c r="P35" s="33" t="str">
        <f ca="1">IFERROR(INDIRECT(ADDRESS(2,MATCH($N$2,#REF!,0),1,2,"TUAN5")),"")</f>
        <v/>
      </c>
      <c r="Q35" s="33" t="str">
        <f ca="1">IFERROR(INDIRECT(ADDRESS(2,MATCH($U$2,#REF!,0),1,2,"TUAN5")),"")</f>
        <v/>
      </c>
      <c r="R35" s="45"/>
      <c r="S35" s="46"/>
      <c r="T35" s="41"/>
      <c r="U35" s="104"/>
    </row>
    <row r="36" spans="1:25" s="52" customFormat="1" ht="10.25" customHeight="1" thickBot="1" x14ac:dyDescent="0.4">
      <c r="A36" s="47"/>
      <c r="B36" s="48"/>
      <c r="C36" s="32" t="str">
        <f ca="1">IFERROR(INDIRECT(ADDRESS(2,MATCH($Q$2,#REF!,0),1,2,"TUAN1")),"")</f>
        <v/>
      </c>
      <c r="D36" s="33"/>
      <c r="E36" s="34"/>
      <c r="F36" s="32"/>
      <c r="G36" s="33" t="str">
        <f ca="1">IFERROR(INDIRECT(ADDRESS(2,MATCH($N$2,#REF!,0),1,2,"TUAN2")),"")</f>
        <v/>
      </c>
      <c r="H36" s="34" t="str">
        <f ca="1">IFERROR(INDIRECT(ADDRESS(2,MATCH($U$2,#REF!,0),1,2,"TUAN2")),"")</f>
        <v/>
      </c>
      <c r="I36" s="32" t="str">
        <f ca="1">IFERROR(INDIRECT(ADDRESS(2,MATCH($Q$2,#REF!,0),1,2,"TUAN3")),"")</f>
        <v/>
      </c>
      <c r="J36" s="33" t="str">
        <f ca="1">IFERROR(INDIRECT(ADDRESS(2,MATCH($N$2,#REF!,0),1,2,"TUAN3")),"")</f>
        <v/>
      </c>
      <c r="K36" s="34" t="str">
        <f ca="1">IFERROR(INDIRECT(ADDRESS(2,MATCH($U$2,#REF!,0),1,2,"TUAN3")),"")</f>
        <v/>
      </c>
      <c r="L36" s="32" t="str">
        <f ca="1">IFERROR(INDIRECT(ADDRESS(2,MATCH($Q$2,#REF!,0),1,2,"TUAN4")),"")</f>
        <v/>
      </c>
      <c r="M36" s="33" t="str">
        <f ca="1">IFERROR(INDIRECT(ADDRESS(2,MATCH($N$2,#REF!,0),1,2,"TUAN4")),"")</f>
        <v/>
      </c>
      <c r="N36" s="34" t="str">
        <f ca="1">IFERROR(INDIRECT(ADDRESS(2,MATCH($U$2,#REF!,0),1,2,"TUAN4")),"")</f>
        <v/>
      </c>
      <c r="O36" s="32" t="str">
        <f ca="1">IFERROR(INDIRECT(ADDRESS(2,MATCH($Q$2,#REF!,0),1,2,"TUAN5")),"")</f>
        <v/>
      </c>
      <c r="P36" s="33" t="str">
        <f ca="1">IFERROR(INDIRECT(ADDRESS(2,MATCH($N$2,#REF!,0),1,2,"TUAN5")),"")</f>
        <v/>
      </c>
      <c r="Q36" s="33" t="str">
        <f ca="1">IFERROR(INDIRECT(ADDRESS(2,MATCH($U$2,#REF!,0),1,2,"TUAN5")),"")</f>
        <v/>
      </c>
      <c r="R36" s="49"/>
      <c r="S36" s="50"/>
      <c r="T36" s="51"/>
      <c r="U36" s="105"/>
      <c r="X36"/>
      <c r="Y36"/>
    </row>
    <row r="37" spans="1:25" ht="10.25" customHeight="1" x14ac:dyDescent="0.35">
      <c r="A37" s="108" t="s">
        <v>3</v>
      </c>
      <c r="B37" s="53">
        <v>1</v>
      </c>
      <c r="C37" s="32" t="str">
        <f ca="1">IFERROR(INDIRECT(ADDRESS(2,MATCH($Q$2,#REF!,0),1,2,"TUAN1")),"")</f>
        <v/>
      </c>
      <c r="D37" s="33"/>
      <c r="E37" s="34"/>
      <c r="F37" s="32"/>
      <c r="G37" s="33" t="str">
        <f ca="1">IFERROR(INDIRECT(ADDRESS(2,MATCH($N$2,#REF!,0),1,2,"TUAN2")),"")</f>
        <v/>
      </c>
      <c r="H37" s="34" t="str">
        <f ca="1">IFERROR(INDIRECT(ADDRESS(2,MATCH($U$2,#REF!,0),1,2,"TUAN2")),"")</f>
        <v/>
      </c>
      <c r="I37" s="32" t="str">
        <f ca="1">IFERROR(INDIRECT(ADDRESS(2,MATCH($Q$2,#REF!,0),1,2,"TUAN3")),"")</f>
        <v/>
      </c>
      <c r="J37" s="33" t="str">
        <f ca="1">IFERROR(INDIRECT(ADDRESS(2,MATCH($N$2,#REF!,0),1,2,"TUAN3")),"")</f>
        <v/>
      </c>
      <c r="K37" s="34" t="str">
        <f ca="1">IFERROR(INDIRECT(ADDRESS(2,MATCH($U$2,#REF!,0),1,2,"TUAN3")),"")</f>
        <v/>
      </c>
      <c r="L37" s="32" t="str">
        <f ca="1">IFERROR(INDIRECT(ADDRESS(2,MATCH($Q$2,#REF!,0),1,2,"TUAN4")),"")</f>
        <v/>
      </c>
      <c r="M37" s="33" t="str">
        <f ca="1">IFERROR(INDIRECT(ADDRESS(2,MATCH($N$2,#REF!,0),1,2,"TUAN4")),"")</f>
        <v/>
      </c>
      <c r="N37" s="34" t="str">
        <f ca="1">IFERROR(INDIRECT(ADDRESS(2,MATCH($U$2,#REF!,0),1,2,"TUAN4")),"")</f>
        <v/>
      </c>
      <c r="O37" s="32" t="str">
        <f ca="1">IFERROR(INDIRECT(ADDRESS(2,MATCH($Q$2,#REF!,0),1,2,"TUAN5")),"")</f>
        <v/>
      </c>
      <c r="P37" s="33" t="str">
        <f ca="1">IFERROR(INDIRECT(ADDRESS(2,MATCH($N$2,#REF!,0),1,2,"TUAN5")),"")</f>
        <v/>
      </c>
      <c r="Q37" s="33" t="str">
        <f ca="1">IFERROR(INDIRECT(ADDRESS(2,MATCH($U$2,#REF!,0),1,2,"TUAN5")),"")</f>
        <v/>
      </c>
      <c r="R37" s="35" t="s">
        <v>32</v>
      </c>
      <c r="S37" s="36" t="str">
        <f ca="1">IF(COUNTIF(L7:N65,"6*")=0,"",COUNTIF(L7:N65,"6*"))</f>
        <v/>
      </c>
      <c r="T37" s="37"/>
      <c r="U37" s="106" t="s">
        <v>13</v>
      </c>
    </row>
    <row r="38" spans="1:25" ht="10.25" customHeight="1" x14ac:dyDescent="0.35">
      <c r="A38" s="108"/>
      <c r="B38" s="53">
        <v>2</v>
      </c>
      <c r="C38" s="32" t="str">
        <f ca="1">IFERROR(INDIRECT(ADDRESS(2,MATCH($Q$2,#REF!,0),1,2,"TUAN1")),"")</f>
        <v/>
      </c>
      <c r="D38" s="33"/>
      <c r="E38" s="34"/>
      <c r="F38" s="32"/>
      <c r="G38" s="33" t="str">
        <f ca="1">IFERROR(INDIRECT(ADDRESS(2,MATCH($N$2,#REF!,0),1,2,"TUAN2")),"")</f>
        <v/>
      </c>
      <c r="H38" s="34" t="str">
        <f ca="1">IFERROR(INDIRECT(ADDRESS(2,MATCH($U$2,#REF!,0),1,2,"TUAN2")),"")</f>
        <v/>
      </c>
      <c r="I38" s="32" t="str">
        <f ca="1">IFERROR(INDIRECT(ADDRESS(2,MATCH($Q$2,#REF!,0),1,2,"TUAN3")),"")</f>
        <v/>
      </c>
      <c r="J38" s="33" t="str">
        <f ca="1">IFERROR(INDIRECT(ADDRESS(2,MATCH($N$2,#REF!,0),1,2,"TUAN3")),"")</f>
        <v/>
      </c>
      <c r="K38" s="34" t="str">
        <f ca="1">IFERROR(INDIRECT(ADDRESS(2,MATCH($U$2,#REF!,0),1,2,"TUAN3")),"")</f>
        <v/>
      </c>
      <c r="L38" s="32" t="str">
        <f ca="1">IFERROR(INDIRECT(ADDRESS(2,MATCH($Q$2,#REF!,0),1,2,"TUAN4")),"")</f>
        <v/>
      </c>
      <c r="M38" s="33" t="str">
        <f ca="1">IFERROR(INDIRECT(ADDRESS(2,MATCH($N$2,#REF!,0),1,2,"TUAN4")),"")</f>
        <v/>
      </c>
      <c r="N38" s="34" t="str">
        <f ca="1">IFERROR(INDIRECT(ADDRESS(2,MATCH($U$2,#REF!,0),1,2,"TUAN4")),"")</f>
        <v/>
      </c>
      <c r="O38" s="32" t="str">
        <f ca="1">IFERROR(INDIRECT(ADDRESS(2,MATCH($Q$2,#REF!,0),1,2,"TUAN5")),"")</f>
        <v/>
      </c>
      <c r="P38" s="33" t="str">
        <f ca="1">IFERROR(INDIRECT(ADDRESS(2,MATCH($N$2,#REF!,0),1,2,"TUAN5")),"")</f>
        <v/>
      </c>
      <c r="Q38" s="33" t="str">
        <f ca="1">IFERROR(INDIRECT(ADDRESS(2,MATCH($U$2,#REF!,0),1,2,"TUAN5")),"")</f>
        <v/>
      </c>
      <c r="R38" s="39" t="s">
        <v>33</v>
      </c>
      <c r="S38" s="40" t="str">
        <f ca="1">IF(COUNTIF(L7:N65,"7*")=0,"",COUNTIF(L7:N65,"7*"))</f>
        <v/>
      </c>
      <c r="T38" s="41"/>
      <c r="U38" s="107"/>
    </row>
    <row r="39" spans="1:25" ht="10.25" customHeight="1" x14ac:dyDescent="0.35">
      <c r="A39" s="108"/>
      <c r="B39" s="53">
        <v>3</v>
      </c>
      <c r="C39" s="32" t="str">
        <f ca="1">IFERROR(INDIRECT(ADDRESS(2,MATCH($Q$2,#REF!,0),1,2,"TUAN1")),"")</f>
        <v/>
      </c>
      <c r="D39" s="33" t="str">
        <f ca="1">IFERROR(INDIRECT(ADDRESS(2,MATCH($N$2,#REF!,0),1,2,"TUAN1")),"")</f>
        <v/>
      </c>
      <c r="E39" s="34" t="str">
        <f ca="1">IFERROR(INDIRECT(ADDRESS(2,MATCH($U$2,#REF!,0),1,2,"TUAN1")),"")</f>
        <v/>
      </c>
      <c r="F39" s="32" t="str">
        <f ca="1">IFERROR(INDIRECT(ADDRESS(2,MATCH($Q$2,#REF!,0),1,2,"TUAN2")),"")</f>
        <v/>
      </c>
      <c r="G39" s="33" t="str">
        <f ca="1">IFERROR(INDIRECT(ADDRESS(2,MATCH($N$2,#REF!,0),1,2,"TUAN2")),"")</f>
        <v/>
      </c>
      <c r="H39" s="34" t="str">
        <f ca="1">IFERROR(INDIRECT(ADDRESS(2,MATCH($U$2,#REF!,0),1,2,"TUAN2")),"")</f>
        <v/>
      </c>
      <c r="I39" s="32" t="str">
        <f ca="1">IFERROR(INDIRECT(ADDRESS(2,MATCH($Q$2,#REF!,0),1,2,"TUAN3")),"")</f>
        <v/>
      </c>
      <c r="J39" s="33" t="str">
        <f ca="1">IFERROR(INDIRECT(ADDRESS(2,MATCH($N$2,#REF!,0),1,2,"TUAN3")),"")</f>
        <v/>
      </c>
      <c r="K39" s="34" t="str">
        <f ca="1">IFERROR(INDIRECT(ADDRESS(2,MATCH($U$2,#REF!,0),1,2,"TUAN3")),"")</f>
        <v/>
      </c>
      <c r="L39" s="32" t="str">
        <f ca="1">IFERROR(INDIRECT(ADDRESS(2,MATCH($Q$2,#REF!,0),1,2,"TUAN4")),"")</f>
        <v/>
      </c>
      <c r="M39" s="33" t="str">
        <f ca="1">IFERROR(INDIRECT(ADDRESS(2,MATCH($N$2,#REF!,0),1,2,"TUAN4")),"")</f>
        <v/>
      </c>
      <c r="N39" s="34" t="str">
        <f ca="1">IFERROR(INDIRECT(ADDRESS(2,MATCH($U$2,#REF!,0),1,2,"TUAN4")),"")</f>
        <v/>
      </c>
      <c r="O39" s="32" t="str">
        <f ca="1">IFERROR(INDIRECT(ADDRESS(2,MATCH($Q$2,#REF!,0),1,2,"TUAN5")),"")</f>
        <v/>
      </c>
      <c r="P39" s="33" t="str">
        <f ca="1">IFERROR(INDIRECT(ADDRESS(2,MATCH($N$2,#REF!,0),1,2,"TUAN5")),"")</f>
        <v/>
      </c>
      <c r="Q39" s="33" t="str">
        <f ca="1">IFERROR(INDIRECT(ADDRESS(2,MATCH($U$2,#REF!,0),1,2,"TUAN5")),"")</f>
        <v/>
      </c>
      <c r="R39" s="39" t="s">
        <v>31</v>
      </c>
      <c r="S39" s="40" t="str">
        <f ca="1">IF(COUNTIF(L7:N65,"8*")=0,"",COUNTIF(L7:N65,"8*"))</f>
        <v/>
      </c>
      <c r="T39" s="41"/>
      <c r="U39" s="54" t="s">
        <v>38</v>
      </c>
    </row>
    <row r="40" spans="1:25" ht="10.25" customHeight="1" x14ac:dyDescent="0.35">
      <c r="A40" s="108"/>
      <c r="B40" s="53">
        <v>4</v>
      </c>
      <c r="C40" s="32" t="str">
        <f ca="1">IFERROR(INDIRECT(ADDRESS(2,MATCH($Q$2,#REF!,0),1,2,"TUAN1")),"")</f>
        <v/>
      </c>
      <c r="D40" s="33" t="str">
        <f ca="1">IFERROR(INDIRECT(ADDRESS(2,MATCH($N$2,#REF!,0),1,2,"TUAN1")),"")</f>
        <v/>
      </c>
      <c r="E40" s="34" t="str">
        <f ca="1">IFERROR(INDIRECT(ADDRESS(2,MATCH($U$2,#REF!,0),1,2,"TUAN1")),"")</f>
        <v/>
      </c>
      <c r="F40" s="32" t="str">
        <f ca="1">IFERROR(INDIRECT(ADDRESS(2,MATCH($Q$2,#REF!,0),1,2,"TUAN2")),"")</f>
        <v/>
      </c>
      <c r="G40" s="33" t="str">
        <f ca="1">IFERROR(INDIRECT(ADDRESS(2,MATCH($N$2,#REF!,0),1,2,"TUAN2")),"")</f>
        <v/>
      </c>
      <c r="H40" s="34" t="str">
        <f ca="1">IFERROR(INDIRECT(ADDRESS(2,MATCH($U$2,#REF!,0),1,2,"TUAN2")),"")</f>
        <v/>
      </c>
      <c r="I40" s="32" t="str">
        <f ca="1">IFERROR(INDIRECT(ADDRESS(2,MATCH($Q$2,#REF!,0),1,2,"TUAN3")),"")</f>
        <v/>
      </c>
      <c r="J40" s="33" t="str">
        <f ca="1">IFERROR(INDIRECT(ADDRESS(2,MATCH($N$2,#REF!,0),1,2,"TUAN3")),"")</f>
        <v/>
      </c>
      <c r="K40" s="34"/>
      <c r="L40" s="32" t="str">
        <f ca="1">IFERROR(INDIRECT(ADDRESS(2,MATCH($Q$2,#REF!,0),1,2,"TUAN4")),"")</f>
        <v/>
      </c>
      <c r="M40" s="33" t="str">
        <f ca="1">IFERROR(INDIRECT(ADDRESS(2,MATCH($N$2,#REF!,0),1,2,"TUAN4")),"")</f>
        <v/>
      </c>
      <c r="N40" s="34" t="str">
        <f ca="1">IFERROR(INDIRECT(ADDRESS(2,MATCH($U$2,#REF!,0),1,2,"TUAN4")),"")</f>
        <v/>
      </c>
      <c r="O40" s="32" t="str">
        <f ca="1">IFERROR(INDIRECT(ADDRESS(2,MATCH($Q$2,#REF!,0),1,2,"TUAN5")),"")</f>
        <v/>
      </c>
      <c r="P40" s="33" t="str">
        <f ca="1">IFERROR(INDIRECT(ADDRESS(2,MATCH($N$2,#REF!,0),1,2,"TUAN5")),"")</f>
        <v/>
      </c>
      <c r="Q40" s="33" t="str">
        <f ca="1">IFERROR(INDIRECT(ADDRESS(2,MATCH($U$2,#REF!,0),1,2,"TUAN5")),"")</f>
        <v/>
      </c>
      <c r="R40" s="39" t="s">
        <v>34</v>
      </c>
      <c r="S40" s="40" t="str">
        <f ca="1">IF(COUNTIF(L7:N65,"9*")=0,"",COUNTIF(L7:N65,"9*"))</f>
        <v/>
      </c>
      <c r="T40" s="41"/>
      <c r="U40" s="104">
        <f ca="1">SUM(S37:S43)</f>
        <v>0</v>
      </c>
    </row>
    <row r="41" spans="1:25" ht="10.25" customHeight="1" x14ac:dyDescent="0.35">
      <c r="A41" s="108"/>
      <c r="B41" s="56"/>
      <c r="C41" s="32" t="str">
        <f ca="1">IFERROR(INDIRECT(ADDRESS(2,MATCH($Q$2,#REF!,0),1,2,"TUAN1")),"")</f>
        <v/>
      </c>
      <c r="D41" s="33" t="str">
        <f ca="1">IFERROR(INDIRECT(ADDRESS(2,MATCH($N$2,#REF!,0),1,2,"TUAN1")),"")</f>
        <v/>
      </c>
      <c r="E41" s="34" t="str">
        <f ca="1">IFERROR(INDIRECT(ADDRESS(2,MATCH($U$2,#REF!,0),1,2,"TUAN1")),"")</f>
        <v/>
      </c>
      <c r="F41" s="32" t="str">
        <f ca="1">IFERROR(INDIRECT(ADDRESS(2,MATCH($Q$2,#REF!,0),1,2,"TUAN2")),"")</f>
        <v/>
      </c>
      <c r="G41" s="33" t="str">
        <f ca="1">IFERROR(INDIRECT(ADDRESS(2,MATCH($N$2,#REF!,0),1,2,"TUAN2")),"")</f>
        <v/>
      </c>
      <c r="H41" s="34" t="str">
        <f ca="1">IFERROR(INDIRECT(ADDRESS(2,MATCH($U$2,#REF!,0),1,2,"TUAN2")),"")</f>
        <v/>
      </c>
      <c r="I41" s="32" t="str">
        <f ca="1">IFERROR(INDIRECT(ADDRESS(2,MATCH($Q$2,#REF!,0),1,2,"TUAN3")),"")</f>
        <v/>
      </c>
      <c r="J41" s="33" t="str">
        <f ca="1">IFERROR(INDIRECT(ADDRESS(2,MATCH($N$2,#REF!,0),1,2,"TUAN3")),"")</f>
        <v/>
      </c>
      <c r="K41" s="34" t="str">
        <f ca="1">IFERROR(INDIRECT(ADDRESS(2,MATCH($U$2,#REF!,0),1,2,"TUAN3")),"")</f>
        <v/>
      </c>
      <c r="L41" s="32" t="str">
        <f ca="1">IFERROR(INDIRECT(ADDRESS(2,MATCH($Q$2,#REF!,0),1,2,"TUAN4")),"")</f>
        <v/>
      </c>
      <c r="M41" s="33" t="str">
        <f ca="1">IFERROR(INDIRECT(ADDRESS(2,MATCH($N$2,#REF!,0),1,2,"TUAN4")),"")</f>
        <v/>
      </c>
      <c r="N41" s="34" t="str">
        <f ca="1">IFERROR(INDIRECT(ADDRESS(2,MATCH($U$2,#REF!,0),1,2,"TUAN4")),"")</f>
        <v/>
      </c>
      <c r="O41" s="32" t="str">
        <f ca="1">IFERROR(INDIRECT(ADDRESS(2,MATCH($Q$2,#REF!,0),1,2,"TUAN5")),"")</f>
        <v/>
      </c>
      <c r="P41" s="33" t="str">
        <f ca="1">IFERROR(INDIRECT(ADDRESS(2,MATCH($N$2,#REF!,0),1,2,"TUAN5")),"")</f>
        <v/>
      </c>
      <c r="Q41" s="33" t="str">
        <f ca="1">IFERROR(INDIRECT(ADDRESS(2,MATCH($U$2,#REF!,0),1,2,"TUAN5")),"")</f>
        <v/>
      </c>
      <c r="R41" s="39" t="s">
        <v>35</v>
      </c>
      <c r="S41" s="40" t="str">
        <f ca="1">IF(COUNTIF(L7:N65,"10*")=0,"",COUNTIF(L7:N65,"10*"))</f>
        <v/>
      </c>
      <c r="T41" s="41"/>
      <c r="U41" s="104"/>
    </row>
    <row r="42" spans="1:25" ht="10.25" customHeight="1" x14ac:dyDescent="0.35">
      <c r="A42" s="108"/>
      <c r="B42" s="53">
        <v>5</v>
      </c>
      <c r="C42" s="32" t="str">
        <f ca="1">IFERROR(INDIRECT(ADDRESS(2,MATCH($Q$2,#REF!,0),1,2,"TUAN1")),"")</f>
        <v/>
      </c>
      <c r="D42" s="33" t="str">
        <f ca="1">IFERROR(INDIRECT(ADDRESS(2,MATCH($N$2,#REF!,0),1,2,"TUAN1")),"")</f>
        <v/>
      </c>
      <c r="E42" s="34" t="str">
        <f ca="1">IFERROR(INDIRECT(ADDRESS(2,MATCH($U$2,#REF!,0),1,2,"TUAN1")),"")</f>
        <v/>
      </c>
      <c r="F42" s="32" t="str">
        <f ca="1">IFERROR(INDIRECT(ADDRESS(2,MATCH($Q$2,#REF!,0),1,2,"TUAN2")),"")</f>
        <v/>
      </c>
      <c r="G42" s="33" t="str">
        <f ca="1">IFERROR(INDIRECT(ADDRESS(2,MATCH($N$2,#REF!,0),1,2,"TUAN2")),"")</f>
        <v/>
      </c>
      <c r="H42" s="34" t="str">
        <f ca="1">IFERROR(INDIRECT(ADDRESS(2,MATCH($U$2,#REF!,0),1,2,"TUAN2")),"")</f>
        <v/>
      </c>
      <c r="I42" s="32" t="str">
        <f ca="1">IFERROR(INDIRECT(ADDRESS(2,MATCH($Q$2,#REF!,0),1,2,"TUAN3")),"")</f>
        <v/>
      </c>
      <c r="J42" s="33" t="str">
        <f ca="1">IFERROR(INDIRECT(ADDRESS(2,MATCH($N$2,#REF!,0),1,2,"TUAN3")),"")</f>
        <v/>
      </c>
      <c r="K42" s="34" t="str">
        <f ca="1">IFERROR(INDIRECT(ADDRESS(2,MATCH($U$2,#REF!,0),1,2,"TUAN3")),"")</f>
        <v/>
      </c>
      <c r="L42" s="32" t="str">
        <f ca="1">IFERROR(INDIRECT(ADDRESS(2,MATCH($Q$2,#REF!,0),1,2,"TUAN4")),"")</f>
        <v/>
      </c>
      <c r="M42" s="33" t="str">
        <f ca="1">IFERROR(INDIRECT(ADDRESS(2,MATCH($N$2,#REF!,0),1,2,"TUAN4")),"")</f>
        <v/>
      </c>
      <c r="N42" s="34" t="str">
        <f ca="1">IFERROR(INDIRECT(ADDRESS(2,MATCH($U$2,#REF!,0),1,2,"TUAN4")),"")</f>
        <v/>
      </c>
      <c r="O42" s="32" t="str">
        <f ca="1">IFERROR(INDIRECT(ADDRESS(2,MATCH($Q$2,#REF!,0),1,2,"TUAN5")),"")</f>
        <v/>
      </c>
      <c r="P42" s="33" t="str">
        <f ca="1">IFERROR(INDIRECT(ADDRESS(2,MATCH($N$2,#REF!,0),1,2,"TUAN5")),"")</f>
        <v/>
      </c>
      <c r="Q42" s="33" t="str">
        <f ca="1">IFERROR(INDIRECT(ADDRESS(2,MATCH($U$2,#REF!,0),1,2,"TUAN5")),"")</f>
        <v/>
      </c>
      <c r="R42" s="39" t="s">
        <v>36</v>
      </c>
      <c r="S42" s="40" t="str">
        <f ca="1">IF(COUNTIF(L7:N65,"11*")=0,"",COUNTIF(L7:N65,"11*"))</f>
        <v/>
      </c>
      <c r="T42" s="41"/>
      <c r="U42" s="104"/>
    </row>
    <row r="43" spans="1:25" ht="10.25" customHeight="1" x14ac:dyDescent="0.35">
      <c r="A43" s="108"/>
      <c r="B43" s="53">
        <v>6</v>
      </c>
      <c r="C43" s="32" t="str">
        <f ca="1">IFERROR(INDIRECT(ADDRESS(2,MATCH($Q$2,#REF!,0),1,2,"TUAN1")),"")</f>
        <v/>
      </c>
      <c r="D43" s="33" t="str">
        <f ca="1">IFERROR(INDIRECT(ADDRESS(2,MATCH($N$2,#REF!,0),1,2,"TUAN1")),"")</f>
        <v/>
      </c>
      <c r="E43" s="34" t="str">
        <f ca="1">IFERROR(INDIRECT(ADDRESS(2,MATCH($U$2,#REF!,0),1,2,"TUAN1")),"")</f>
        <v/>
      </c>
      <c r="F43" s="32" t="str">
        <f ca="1">IFERROR(INDIRECT(ADDRESS(2,MATCH($Q$2,#REF!,0),1,2,"TUAN2")),"")</f>
        <v/>
      </c>
      <c r="G43" s="33" t="str">
        <f ca="1">IFERROR(INDIRECT(ADDRESS(2,MATCH($N$2,#REF!,0),1,2,"TUAN2")),"")</f>
        <v/>
      </c>
      <c r="H43" s="34" t="str">
        <f ca="1">IFERROR(INDIRECT(ADDRESS(2,MATCH($U$2,#REF!,0),1,2,"TUAN2")),"")</f>
        <v/>
      </c>
      <c r="I43" s="32" t="str">
        <f ca="1">IFERROR(INDIRECT(ADDRESS(2,MATCH($Q$2,#REF!,0),1,2,"TUAN3")),"")</f>
        <v/>
      </c>
      <c r="J43" s="33" t="str">
        <f ca="1">IFERROR(INDIRECT(ADDRESS(2,MATCH($N$2,#REF!,0),1,2,"TUAN3")),"")</f>
        <v/>
      </c>
      <c r="K43" s="34" t="str">
        <f ca="1">IFERROR(INDIRECT(ADDRESS(2,MATCH($U$2,#REF!,0),1,2,"TUAN3")),"")</f>
        <v/>
      </c>
      <c r="L43" s="32" t="str">
        <f ca="1">IFERROR(INDIRECT(ADDRESS(2,MATCH($Q$2,#REF!,0),1,2,"TUAN4")),"")</f>
        <v/>
      </c>
      <c r="M43" s="33" t="str">
        <f ca="1">IFERROR(INDIRECT(ADDRESS(2,MATCH($N$2,#REF!,0),1,2,"TUAN4")),"")</f>
        <v/>
      </c>
      <c r="N43" s="34" t="str">
        <f ca="1">IFERROR(INDIRECT(ADDRESS(2,MATCH($U$2,#REF!,0),1,2,"TUAN4")),"")</f>
        <v/>
      </c>
      <c r="O43" s="32" t="str">
        <f ca="1">IFERROR(INDIRECT(ADDRESS(2,MATCH($Q$2,#REF!,0),1,2,"TUAN5")),"")</f>
        <v/>
      </c>
      <c r="P43" s="33" t="str">
        <f ca="1">IFERROR(INDIRECT(ADDRESS(2,MATCH($N$2,#REF!,0),1,2,"TUAN5")),"")</f>
        <v/>
      </c>
      <c r="Q43" s="33" t="str">
        <f ca="1">IFERROR(INDIRECT(ADDRESS(2,MATCH($U$2,#REF!,0),1,2,"TUAN5")),"")</f>
        <v/>
      </c>
      <c r="R43" s="39" t="s">
        <v>37</v>
      </c>
      <c r="S43" s="40" t="str">
        <f ca="1">IF(COUNTIF(L7:N65,"KH*")=0,"",COUNTIF(L7:N65,"KH*"))</f>
        <v/>
      </c>
      <c r="T43" s="41"/>
      <c r="U43" s="104"/>
    </row>
    <row r="44" spans="1:25" ht="10.25" customHeight="1" x14ac:dyDescent="0.35">
      <c r="A44" s="108"/>
      <c r="B44" s="53">
        <v>7</v>
      </c>
      <c r="C44" s="32" t="str">
        <f ca="1">IFERROR(INDIRECT(ADDRESS(2,MATCH($Q$2,#REF!,0),1,2,"TUAN1")),"")</f>
        <v/>
      </c>
      <c r="D44" s="33" t="str">
        <f ca="1">IFERROR(INDIRECT(ADDRESS(2,MATCH($N$2,#REF!,0),1,2,"TUAN1")),"")</f>
        <v/>
      </c>
      <c r="E44" s="34" t="str">
        <f ca="1">IFERROR(INDIRECT(ADDRESS(2,MATCH($U$2,#REF!,0),1,2,"TUAN1")),"")</f>
        <v/>
      </c>
      <c r="F44" s="32" t="str">
        <f ca="1">IFERROR(INDIRECT(ADDRESS(2,MATCH($Q$2,#REF!,0),1,2,"TUAN2")),"")</f>
        <v/>
      </c>
      <c r="G44" s="33" t="str">
        <f ca="1">IFERROR(INDIRECT(ADDRESS(2,MATCH($N$2,#REF!,0),1,2,"TUAN2")),"")</f>
        <v/>
      </c>
      <c r="H44" s="34" t="str">
        <f ca="1">IFERROR(INDIRECT(ADDRESS(2,MATCH($U$2,#REF!,0),1,2,"TUAN2")),"")</f>
        <v/>
      </c>
      <c r="I44" s="32" t="str">
        <f ca="1">IFERROR(INDIRECT(ADDRESS(2,MATCH($Q$2,#REF!,0),1,2,"TUAN3")),"")</f>
        <v/>
      </c>
      <c r="J44" s="33" t="str">
        <f ca="1">IFERROR(INDIRECT(ADDRESS(2,MATCH($N$2,#REF!,0),1,2,"TUAN3")),"")</f>
        <v/>
      </c>
      <c r="K44" s="34" t="str">
        <f ca="1">IFERROR(INDIRECT(ADDRESS(2,MATCH($U$2,#REF!,0),1,2,"TUAN3")),"")</f>
        <v/>
      </c>
      <c r="L44" s="32" t="str">
        <f ca="1">IFERROR(INDIRECT(ADDRESS(2,MATCH($Q$2,#REF!,0),1,2,"TUAN4")),"")</f>
        <v/>
      </c>
      <c r="M44" s="33" t="str">
        <f ca="1">IFERROR(INDIRECT(ADDRESS(2,MATCH($N$2,#REF!,0),1,2,"TUAN4")),"")</f>
        <v/>
      </c>
      <c r="N44" s="34" t="str">
        <f ca="1">IFERROR(INDIRECT(ADDRESS(2,MATCH($U$2,#REF!,0),1,2,"TUAN4")),"")</f>
        <v/>
      </c>
      <c r="O44" s="32" t="str">
        <f ca="1">IFERROR(INDIRECT(ADDRESS(2,MATCH($Q$2,#REF!,0),1,2,"TUAN5")),"")</f>
        <v/>
      </c>
      <c r="P44" s="33" t="str">
        <f ca="1">IFERROR(INDIRECT(ADDRESS(2,MATCH($N$2,#REF!,0),1,2,"TUAN5")),"")</f>
        <v/>
      </c>
      <c r="Q44" s="33" t="str">
        <f ca="1">IFERROR(INDIRECT(ADDRESS(2,MATCH($U$2,#REF!,0),1,2,"TUAN5")),"")</f>
        <v/>
      </c>
      <c r="R44" s="45"/>
      <c r="S44" s="46"/>
      <c r="T44" s="41"/>
      <c r="U44" s="104"/>
    </row>
    <row r="45" spans="1:25" ht="10.25" customHeight="1" x14ac:dyDescent="0.35">
      <c r="A45" s="108"/>
      <c r="B45" s="53">
        <v>8</v>
      </c>
      <c r="C45" s="32" t="str">
        <f ca="1">IFERROR(INDIRECT(ADDRESS(2,MATCH($Q$2,#REF!,0),1,2,"TUAN1")),"")</f>
        <v/>
      </c>
      <c r="D45" s="33" t="str">
        <f ca="1">IFERROR(INDIRECT(ADDRESS(2,MATCH($N$2,#REF!,0),1,2,"TUAN1")),"")</f>
        <v/>
      </c>
      <c r="E45" s="34" t="str">
        <f ca="1">IFERROR(INDIRECT(ADDRESS(2,MATCH($U$2,#REF!,0),1,2,"TUAN1")),"")</f>
        <v/>
      </c>
      <c r="F45" s="32" t="str">
        <f ca="1">IFERROR(INDIRECT(ADDRESS(2,MATCH($Q$2,#REF!,0),1,2,"TUAN2")),"")</f>
        <v/>
      </c>
      <c r="G45" s="33" t="str">
        <f ca="1">IFERROR(INDIRECT(ADDRESS(2,MATCH($N$2,#REF!,0),1,2,"TUAN2")),"")</f>
        <v/>
      </c>
      <c r="H45" s="34" t="str">
        <f ca="1">IFERROR(INDIRECT(ADDRESS(2,MATCH($U$2,#REF!,0),1,2,"TUAN2")),"")</f>
        <v/>
      </c>
      <c r="I45" s="32" t="str">
        <f ca="1">IFERROR(INDIRECT(ADDRESS(2,MATCH($Q$2,#REF!,0),1,2,"TUAN3")),"")</f>
        <v/>
      </c>
      <c r="J45" s="33" t="str">
        <f ca="1">IFERROR(INDIRECT(ADDRESS(2,MATCH($N$2,#REF!,0),1,2,"TUAN3")),"")</f>
        <v/>
      </c>
      <c r="K45" s="34" t="str">
        <f ca="1">IFERROR(INDIRECT(ADDRESS(2,MATCH($U$2,#REF!,0),1,2,"TUAN3")),"")</f>
        <v/>
      </c>
      <c r="L45" s="32" t="str">
        <f ca="1">IFERROR(INDIRECT(ADDRESS(2,MATCH($Q$2,#REF!,0),1,2,"TUAN4")),"")</f>
        <v/>
      </c>
      <c r="M45" s="33" t="str">
        <f ca="1">IFERROR(INDIRECT(ADDRESS(2,MATCH($N$2,#REF!,0),1,2,"TUAN4")),"")</f>
        <v/>
      </c>
      <c r="N45" s="34" t="str">
        <f ca="1">IFERROR(INDIRECT(ADDRESS(2,MATCH($U$2,#REF!,0),1,2,"TUAN4")),"")</f>
        <v/>
      </c>
      <c r="O45" s="32" t="str">
        <f ca="1">IFERROR(INDIRECT(ADDRESS(2,MATCH($Q$2,#REF!,0),1,2,"TUAN5")),"")</f>
        <v/>
      </c>
      <c r="P45" s="33" t="str">
        <f ca="1">IFERROR(INDIRECT(ADDRESS(2,MATCH($N$2,#REF!,0),1,2,"TUAN5")),"")</f>
        <v/>
      </c>
      <c r="Q45" s="33" t="str">
        <f ca="1">IFERROR(INDIRECT(ADDRESS(2,MATCH($U$2,#REF!,0),1,2,"TUAN5")),"")</f>
        <v/>
      </c>
      <c r="R45" s="45"/>
      <c r="S45" s="46"/>
      <c r="T45" s="41"/>
      <c r="U45" s="104"/>
    </row>
    <row r="46" spans="1:25" s="52" customFormat="1" ht="10.25" customHeight="1" thickBot="1" x14ac:dyDescent="0.4">
      <c r="A46" s="57"/>
      <c r="B46" s="48"/>
      <c r="C46" s="32" t="str">
        <f ca="1">IFERROR(INDIRECT(ADDRESS(2,MATCH($Q$2,#REF!,0),1,2,"TUAN1")),"")</f>
        <v/>
      </c>
      <c r="D46" s="33" t="str">
        <f ca="1">IFERROR(INDIRECT(ADDRESS(2,MATCH($N$2,#REF!,0),1,2,"TUAN1")),"")</f>
        <v/>
      </c>
      <c r="E46" s="34" t="str">
        <f ca="1">IFERROR(INDIRECT(ADDRESS(2,MATCH($U$2,#REF!,0),1,2,"TUAN1")),"")</f>
        <v/>
      </c>
      <c r="F46" s="32" t="str">
        <f ca="1">IFERROR(INDIRECT(ADDRESS(2,MATCH($Q$2,#REF!,0),1,2,"TUAN2")),"")</f>
        <v/>
      </c>
      <c r="G46" s="33" t="str">
        <f ca="1">IFERROR(INDIRECT(ADDRESS(2,MATCH($N$2,#REF!,0),1,2,"TUAN2")),"")</f>
        <v/>
      </c>
      <c r="H46" s="34" t="str">
        <f ca="1">IFERROR(INDIRECT(ADDRESS(2,MATCH($U$2,#REF!,0),1,2,"TUAN2")),"")</f>
        <v/>
      </c>
      <c r="I46" s="32" t="str">
        <f ca="1">IFERROR(INDIRECT(ADDRESS(2,MATCH($Q$2,#REF!,0),1,2,"TUAN3")),"")</f>
        <v/>
      </c>
      <c r="J46" s="33" t="str">
        <f ca="1">IFERROR(INDIRECT(ADDRESS(2,MATCH($N$2,#REF!,0),1,2,"TUAN3")),"")</f>
        <v/>
      </c>
      <c r="K46" s="34" t="str">
        <f ca="1">IFERROR(INDIRECT(ADDRESS(2,MATCH($U$2,#REF!,0),1,2,"TUAN3")),"")</f>
        <v/>
      </c>
      <c r="L46" s="32" t="str">
        <f ca="1">IFERROR(INDIRECT(ADDRESS(2,MATCH($Q$2,#REF!,0),1,2,"TUAN4")),"")</f>
        <v/>
      </c>
      <c r="M46" s="33" t="str">
        <f ca="1">IFERROR(INDIRECT(ADDRESS(2,MATCH($N$2,#REF!,0),1,2,"TUAN4")),"")</f>
        <v/>
      </c>
      <c r="N46" s="34" t="str">
        <f ca="1">IFERROR(INDIRECT(ADDRESS(2,MATCH($U$2,#REF!,0),1,2,"TUAN4")),"")</f>
        <v/>
      </c>
      <c r="O46" s="32" t="str">
        <f ca="1">IFERROR(INDIRECT(ADDRESS(2,MATCH($Q$2,#REF!,0),1,2,"TUAN5")),"")</f>
        <v/>
      </c>
      <c r="P46" s="33" t="str">
        <f ca="1">IFERROR(INDIRECT(ADDRESS(2,MATCH($N$2,#REF!,0),1,2,"TUAN5")),"")</f>
        <v/>
      </c>
      <c r="Q46" s="33" t="str">
        <f ca="1">IFERROR(INDIRECT(ADDRESS(2,MATCH($U$2,#REF!,0),1,2,"TUAN5")),"")</f>
        <v/>
      </c>
      <c r="R46" s="49"/>
      <c r="S46" s="50"/>
      <c r="T46" s="51"/>
      <c r="U46" s="105"/>
      <c r="X46"/>
      <c r="Y46"/>
    </row>
    <row r="47" spans="1:25" ht="10.25" customHeight="1" x14ac:dyDescent="0.35">
      <c r="A47" s="117" t="s">
        <v>4</v>
      </c>
      <c r="B47" s="31">
        <v>1</v>
      </c>
      <c r="C47" s="32" t="str">
        <f ca="1">IFERROR(INDIRECT(ADDRESS(2,MATCH($Q$2,#REF!,0),1,2,"TUAN1")),"")</f>
        <v/>
      </c>
      <c r="D47" s="33" t="str">
        <f ca="1">IFERROR(INDIRECT(ADDRESS(2,MATCH($N$2,#REF!,0),1,2,"TUAN1")),"")</f>
        <v/>
      </c>
      <c r="E47" s="34" t="str">
        <f ca="1">IFERROR(INDIRECT(ADDRESS(2,MATCH($U$2,#REF!,0),1,2,"TUAN1")),"")</f>
        <v/>
      </c>
      <c r="F47" s="32" t="str">
        <f ca="1">IFERROR(INDIRECT(ADDRESS(2,MATCH($Q$2,#REF!,0),1,2,"TUAN2")),"")</f>
        <v/>
      </c>
      <c r="G47" s="33" t="str">
        <f ca="1">IFERROR(INDIRECT(ADDRESS(2,MATCH($N$2,#REF!,0),1,2,"TUAN2")),"")</f>
        <v/>
      </c>
      <c r="H47" s="34" t="str">
        <f ca="1">IFERROR(INDIRECT(ADDRESS(2,MATCH($U$2,#REF!,0),1,2,"TUAN2")),"")</f>
        <v/>
      </c>
      <c r="I47" s="32" t="str">
        <f ca="1">IFERROR(INDIRECT(ADDRESS(2,MATCH($Q$2,#REF!,0),1,2,"TUAN3")),"")</f>
        <v/>
      </c>
      <c r="J47" s="33" t="str">
        <f ca="1">IFERROR(INDIRECT(ADDRESS(2,MATCH($N$2,#REF!,0),1,2,"TUAN3")),"")</f>
        <v/>
      </c>
      <c r="K47" s="34" t="str">
        <f ca="1">IFERROR(INDIRECT(ADDRESS(2,MATCH($U$2,#REF!,0),1,2,"TUAN3")),"")</f>
        <v/>
      </c>
      <c r="L47" s="32" t="str">
        <f ca="1">IFERROR(INDIRECT(ADDRESS(2,MATCH($Q$2,#REF!,0),1,2,"TUAN4")),"")</f>
        <v/>
      </c>
      <c r="M47" s="33" t="str">
        <f ca="1">IFERROR(INDIRECT(ADDRESS(2,MATCH($N$2,#REF!,0),1,2,"TUAN4")),"")</f>
        <v/>
      </c>
      <c r="N47" s="34" t="str">
        <f ca="1">IFERROR(INDIRECT(ADDRESS(2,MATCH($U$2,#REF!,0),1,2,"TUAN4")),"")</f>
        <v/>
      </c>
      <c r="O47" s="32" t="str">
        <f ca="1">IFERROR(INDIRECT(ADDRESS(2,MATCH($Q$2,#REF!,0),1,2,"TUAN5")),"")</f>
        <v/>
      </c>
      <c r="P47" s="33" t="str">
        <f ca="1">IFERROR(INDIRECT(ADDRESS(2,MATCH($N$2,#REF!,0),1,2,"TUAN5")),"")</f>
        <v/>
      </c>
      <c r="Q47" s="33" t="str">
        <f ca="1">IFERROR(INDIRECT(ADDRESS(2,MATCH($U$2,#REF!,0),1,2,"TUAN5")),"")</f>
        <v/>
      </c>
      <c r="R47" s="35" t="s">
        <v>32</v>
      </c>
      <c r="S47" s="36" t="str">
        <f ca="1">IF(COUNTIF(O7:Q64,"6*")=0,"",COUNTIF(O7:Q64,"6*"))</f>
        <v/>
      </c>
      <c r="T47" s="37"/>
      <c r="U47" s="106" t="s">
        <v>14</v>
      </c>
    </row>
    <row r="48" spans="1:25" ht="10.25" customHeight="1" x14ac:dyDescent="0.35">
      <c r="A48" s="118"/>
      <c r="B48" s="31">
        <v>2</v>
      </c>
      <c r="C48" s="32" t="str">
        <f ca="1">IFERROR(INDIRECT(ADDRESS(2,MATCH($Q$2,#REF!,0),1,2,"TUAN1")),"")</f>
        <v/>
      </c>
      <c r="D48" s="33" t="str">
        <f ca="1">IFERROR(INDIRECT(ADDRESS(2,MATCH($N$2,#REF!,0),1,2,"TUAN1")),"")</f>
        <v/>
      </c>
      <c r="E48" s="34" t="str">
        <f ca="1">IFERROR(INDIRECT(ADDRESS(2,MATCH($U$2,#REF!,0),1,2,"TUAN1")),"")</f>
        <v/>
      </c>
      <c r="F48" s="32" t="str">
        <f ca="1">IFERROR(INDIRECT(ADDRESS(2,MATCH($Q$2,#REF!,0),1,2,"TUAN2")),"")</f>
        <v/>
      </c>
      <c r="G48" s="33" t="str">
        <f ca="1">IFERROR(INDIRECT(ADDRESS(2,MATCH($N$2,#REF!,0),1,2,"TUAN2")),"")</f>
        <v/>
      </c>
      <c r="H48" s="34" t="str">
        <f ca="1">IFERROR(INDIRECT(ADDRESS(2,MATCH($U$2,#REF!,0),1,2,"TUAN2")),"")</f>
        <v/>
      </c>
      <c r="I48" s="32" t="str">
        <f ca="1">IFERROR(INDIRECT(ADDRESS(2,MATCH($Q$2,#REF!,0),1,2,"TUAN3")),"")</f>
        <v/>
      </c>
      <c r="J48" s="33" t="str">
        <f ca="1">IFERROR(INDIRECT(ADDRESS(2,MATCH($N$2,#REF!,0),1,2,"TUAN3")),"")</f>
        <v/>
      </c>
      <c r="K48" s="34" t="str">
        <f ca="1">IFERROR(INDIRECT(ADDRESS(2,MATCH($U$2,#REF!,0),1,2,"TUAN3")),"")</f>
        <v/>
      </c>
      <c r="L48" s="32" t="str">
        <f ca="1">IFERROR(INDIRECT(ADDRESS(2,MATCH($Q$2,#REF!,0),1,2,"TUAN4")),"")</f>
        <v/>
      </c>
      <c r="M48" s="33" t="str">
        <f ca="1">IFERROR(INDIRECT(ADDRESS(2,MATCH($N$2,#REF!,0),1,2,"TUAN4")),"")</f>
        <v/>
      </c>
      <c r="N48" s="34" t="str">
        <f ca="1">IFERROR(INDIRECT(ADDRESS(2,MATCH($U$2,#REF!,0),1,2,"TUAN4")),"")</f>
        <v/>
      </c>
      <c r="O48" s="32" t="str">
        <f ca="1">IFERROR(INDIRECT(ADDRESS(2,MATCH($Q$2,#REF!,0),1,2,"TUAN5")),"")</f>
        <v/>
      </c>
      <c r="P48" s="33" t="str">
        <f ca="1">IFERROR(INDIRECT(ADDRESS(2,MATCH($N$2,#REF!,0),1,2,"TUAN5")),"")</f>
        <v/>
      </c>
      <c r="Q48" s="33" t="str">
        <f ca="1">IFERROR(INDIRECT(ADDRESS(2,MATCH($U$2,#REF!,0),1,2,"TUAN5")),"")</f>
        <v/>
      </c>
      <c r="R48" s="39" t="s">
        <v>33</v>
      </c>
      <c r="S48" s="40" t="str">
        <f ca="1">IF(COUNTIF(O7:Q64,"7*")=0,"",COUNTIF(O7:Q64,"7*"))</f>
        <v/>
      </c>
      <c r="T48" s="41"/>
      <c r="U48" s="107"/>
    </row>
    <row r="49" spans="1:25" ht="10.25" customHeight="1" x14ac:dyDescent="0.35">
      <c r="A49" s="118"/>
      <c r="B49" s="31">
        <v>3</v>
      </c>
      <c r="C49" s="32" t="str">
        <f ca="1">IFERROR(INDIRECT(ADDRESS(2,MATCH($Q$2,#REF!,0),1,2,"TUAN1")),"")</f>
        <v/>
      </c>
      <c r="D49" s="33" t="str">
        <f ca="1">IFERROR(INDIRECT(ADDRESS(2,MATCH($N$2,#REF!,0),1,2,"TUAN1")),"")</f>
        <v/>
      </c>
      <c r="E49" s="34" t="str">
        <f ca="1">IFERROR(INDIRECT(ADDRESS(2,MATCH($U$2,#REF!,0),1,2,"TUAN1")),"")</f>
        <v/>
      </c>
      <c r="F49" s="32" t="str">
        <f ca="1">IFERROR(INDIRECT(ADDRESS(2,MATCH($Q$2,#REF!,0),1,2,"TUAN2")),"")</f>
        <v/>
      </c>
      <c r="G49" s="33" t="str">
        <f ca="1">IFERROR(INDIRECT(ADDRESS(2,MATCH($N$2,#REF!,0),1,2,"TUAN2")),"")</f>
        <v/>
      </c>
      <c r="H49" s="34" t="str">
        <f ca="1">IFERROR(INDIRECT(ADDRESS(2,MATCH($U$2,#REF!,0),1,2,"TUAN2")),"")</f>
        <v/>
      </c>
      <c r="I49" s="32" t="str">
        <f ca="1">IFERROR(INDIRECT(ADDRESS(2,MATCH($Q$2,#REF!,0),1,2,"TUAN3")),"")</f>
        <v/>
      </c>
      <c r="J49" s="33" t="str">
        <f ca="1">IFERROR(INDIRECT(ADDRESS(2,MATCH($N$2,#REF!,0),1,2,"TUAN3")),"")</f>
        <v/>
      </c>
      <c r="K49" s="34" t="str">
        <f ca="1">IFERROR(INDIRECT(ADDRESS(2,MATCH($U$2,#REF!,0),1,2,"TUAN3")),"")</f>
        <v/>
      </c>
      <c r="L49" s="32" t="str">
        <f ca="1">IFERROR(INDIRECT(ADDRESS(2,MATCH($Q$2,#REF!,0),1,2,"TUAN4")),"")</f>
        <v/>
      </c>
      <c r="M49" s="33" t="str">
        <f ca="1">IFERROR(INDIRECT(ADDRESS(2,MATCH($N$2,#REF!,0),1,2,"TUAN4")),"")</f>
        <v/>
      </c>
      <c r="N49" s="34" t="str">
        <f ca="1">IFERROR(INDIRECT(ADDRESS(2,MATCH($U$2,#REF!,0),1,2,"TUAN4")),"")</f>
        <v/>
      </c>
      <c r="O49" s="32" t="str">
        <f ca="1">IFERROR(INDIRECT(ADDRESS(2,MATCH($Q$2,#REF!,0),1,2,"TUAN5")),"")</f>
        <v/>
      </c>
      <c r="P49" s="33" t="str">
        <f ca="1">IFERROR(INDIRECT(ADDRESS(2,MATCH($N$2,#REF!,0),1,2,"TUAN5")),"")</f>
        <v/>
      </c>
      <c r="Q49" s="33" t="str">
        <f ca="1">IFERROR(INDIRECT(ADDRESS(2,MATCH($U$2,#REF!,0),1,2,"TUAN5")),"")</f>
        <v/>
      </c>
      <c r="R49" s="39" t="s">
        <v>31</v>
      </c>
      <c r="S49" s="40" t="str">
        <f ca="1">IF(COUNTIF(O7:Q64,"8*")=0,"",COUNTIF(O7:Q64,"8*"))</f>
        <v/>
      </c>
      <c r="T49" s="41"/>
      <c r="U49" s="54" t="s">
        <v>38</v>
      </c>
    </row>
    <row r="50" spans="1:25" ht="10.25" customHeight="1" x14ac:dyDescent="0.35">
      <c r="A50" s="118"/>
      <c r="B50" s="31">
        <v>4</v>
      </c>
      <c r="C50" s="32" t="str">
        <f ca="1">IFERROR(INDIRECT(ADDRESS(2,MATCH($Q$2,#REF!,0),1,2,"TUAN1")),"")</f>
        <v/>
      </c>
      <c r="D50" s="33" t="str">
        <f ca="1">IFERROR(INDIRECT(ADDRESS(2,MATCH($N$2,#REF!,0),1,2,"TUAN1")),"")</f>
        <v/>
      </c>
      <c r="E50" s="34" t="str">
        <f ca="1">IFERROR(INDIRECT(ADDRESS(2,MATCH($U$2,#REF!,0),1,2,"TUAN1")),"")</f>
        <v/>
      </c>
      <c r="F50" s="32" t="str">
        <f ca="1">IFERROR(INDIRECT(ADDRESS(2,MATCH($Q$2,#REF!,0),1,2,"TUAN2")),"")</f>
        <v/>
      </c>
      <c r="G50" s="33" t="str">
        <f ca="1">IFERROR(INDIRECT(ADDRESS(2,MATCH($N$2,#REF!,0),1,2,"TUAN2")),"")</f>
        <v/>
      </c>
      <c r="H50" s="34" t="str">
        <f ca="1">IFERROR(INDIRECT(ADDRESS(2,MATCH($U$2,#REF!,0),1,2,"TUAN2")),"")</f>
        <v/>
      </c>
      <c r="I50" s="32" t="str">
        <f ca="1">IFERROR(INDIRECT(ADDRESS(2,MATCH($Q$2,#REF!,0),1,2,"TUAN3")),"")</f>
        <v/>
      </c>
      <c r="J50" s="33" t="str">
        <f ca="1">IFERROR(INDIRECT(ADDRESS(2,MATCH($N$2,#REF!,0),1,2,"TUAN3")),"")</f>
        <v/>
      </c>
      <c r="K50" s="34" t="str">
        <f ca="1">IFERROR(INDIRECT(ADDRESS(2,MATCH($U$2,#REF!,0),1,2,"TUAN3")),"")</f>
        <v/>
      </c>
      <c r="L50" s="32" t="str">
        <f ca="1">IFERROR(INDIRECT(ADDRESS(2,MATCH($Q$2,#REF!,0),1,2,"TUAN4")),"")</f>
        <v/>
      </c>
      <c r="M50" s="33" t="str">
        <f ca="1">IFERROR(INDIRECT(ADDRESS(2,MATCH($N$2,#REF!,0),1,2,"TUAN4")),"")</f>
        <v/>
      </c>
      <c r="N50" s="34" t="str">
        <f ca="1">IFERROR(INDIRECT(ADDRESS(2,MATCH($U$2,#REF!,0),1,2,"TUAN4")),"")</f>
        <v/>
      </c>
      <c r="O50" s="32" t="str">
        <f ca="1">IFERROR(INDIRECT(ADDRESS(2,MATCH($Q$2,#REF!,0),1,2,"TUAN5")),"")</f>
        <v/>
      </c>
      <c r="P50" s="33" t="str">
        <f ca="1">IFERROR(INDIRECT(ADDRESS(2,MATCH($N$2,#REF!,0),1,2,"TUAN5")),"")</f>
        <v/>
      </c>
      <c r="Q50" s="33" t="str">
        <f ca="1">IFERROR(INDIRECT(ADDRESS(2,MATCH($U$2,#REF!,0),1,2,"TUAN5")),"")</f>
        <v/>
      </c>
      <c r="R50" s="39" t="s">
        <v>34</v>
      </c>
      <c r="S50" s="40" t="str">
        <f ca="1">IF(COUNTIF(O7:Q64,"9*")=0,"",COUNTIF(O7:Q64,"9*"))</f>
        <v/>
      </c>
      <c r="T50" s="41"/>
      <c r="U50" s="104">
        <v>0</v>
      </c>
    </row>
    <row r="51" spans="1:25" ht="10.25" customHeight="1" x14ac:dyDescent="0.35">
      <c r="A51" s="118"/>
      <c r="B51" s="44"/>
      <c r="C51" s="32" t="str">
        <f ca="1">IFERROR(INDIRECT(ADDRESS(2,MATCH($Q$2,#REF!,0),1,2,"TUAN1")),"")</f>
        <v/>
      </c>
      <c r="D51" s="33" t="str">
        <f ca="1">IFERROR(INDIRECT(ADDRESS(2,MATCH($N$2,#REF!,0),1,2,"TUAN1")),"")</f>
        <v/>
      </c>
      <c r="E51" s="34" t="str">
        <f ca="1">IFERROR(INDIRECT(ADDRESS(2,MATCH($U$2,#REF!,0),1,2,"TUAN1")),"")</f>
        <v/>
      </c>
      <c r="F51" s="32" t="str">
        <f ca="1">IFERROR(INDIRECT(ADDRESS(2,MATCH($Q$2,#REF!,0),1,2,"TUAN2")),"")</f>
        <v/>
      </c>
      <c r="G51" s="33" t="str">
        <f ca="1">IFERROR(INDIRECT(ADDRESS(2,MATCH($N$2,#REF!,0),1,2,"TUAN2")),"")</f>
        <v/>
      </c>
      <c r="H51" s="34" t="str">
        <f ca="1">IFERROR(INDIRECT(ADDRESS(2,MATCH($U$2,#REF!,0),1,2,"TUAN2")),"")</f>
        <v/>
      </c>
      <c r="I51" s="32" t="str">
        <f ca="1">IFERROR(INDIRECT(ADDRESS(2,MATCH($Q$2,#REF!,0),1,2,"TUAN3")),"")</f>
        <v/>
      </c>
      <c r="J51" s="33" t="str">
        <f ca="1">IFERROR(INDIRECT(ADDRESS(2,MATCH($N$2,#REF!,0),1,2,"TUAN3")),"")</f>
        <v/>
      </c>
      <c r="K51" s="34" t="str">
        <f ca="1">IFERROR(INDIRECT(ADDRESS(2,MATCH($U$2,#REF!,0),1,2,"TUAN3")),"")</f>
        <v/>
      </c>
      <c r="L51" s="32" t="str">
        <f ca="1">IFERROR(INDIRECT(ADDRESS(2,MATCH($Q$2,#REF!,0),1,2,"TUAN4")),"")</f>
        <v/>
      </c>
      <c r="M51" s="33" t="str">
        <f ca="1">IFERROR(INDIRECT(ADDRESS(2,MATCH($N$2,#REF!,0),1,2,"TUAN4")),"")</f>
        <v/>
      </c>
      <c r="N51" s="34" t="str">
        <f ca="1">IFERROR(INDIRECT(ADDRESS(2,MATCH($U$2,#REF!,0),1,2,"TUAN4")),"")</f>
        <v/>
      </c>
      <c r="O51" s="32" t="str">
        <f ca="1">IFERROR(INDIRECT(ADDRESS(2,MATCH($Q$2,#REF!,0),1,2,"TUAN5")),"")</f>
        <v/>
      </c>
      <c r="P51" s="33" t="str">
        <f ca="1">IFERROR(INDIRECT(ADDRESS(2,MATCH($N$2,#REF!,0),1,2,"TUAN5")),"")</f>
        <v/>
      </c>
      <c r="Q51" s="33" t="str">
        <f ca="1">IFERROR(INDIRECT(ADDRESS(2,MATCH($U$2,#REF!,0),1,2,"TUAN5")),"")</f>
        <v/>
      </c>
      <c r="R51" s="39" t="s">
        <v>35</v>
      </c>
      <c r="S51" s="40" t="str">
        <f ca="1">IF(COUNTIF(O7:Q64,"10*")=0,"",COUNTIF(O7:Q64,"10*"))</f>
        <v/>
      </c>
      <c r="T51" s="41"/>
      <c r="U51" s="104"/>
    </row>
    <row r="52" spans="1:25" ht="10.25" customHeight="1" x14ac:dyDescent="0.35">
      <c r="A52" s="118"/>
      <c r="B52" s="31">
        <v>5</v>
      </c>
      <c r="C52" s="32" t="str">
        <f ca="1">IFERROR(INDIRECT(ADDRESS(2,MATCH($Q$2,#REF!,0),1,2,"TUAN1")),"")</f>
        <v/>
      </c>
      <c r="D52" s="33" t="str">
        <f ca="1">IFERROR(INDIRECT(ADDRESS(2,MATCH($N$2,#REF!,0),1,2,"TUAN1")),"")</f>
        <v/>
      </c>
      <c r="E52" s="34" t="str">
        <f ca="1">IFERROR(INDIRECT(ADDRESS(2,MATCH($U$2,#REF!,0),1,2,"TUAN1")),"")</f>
        <v/>
      </c>
      <c r="F52" s="32" t="str">
        <f ca="1">IFERROR(INDIRECT(ADDRESS(2,MATCH($Q$2,#REF!,0),1,2,"TUAN2")),"")</f>
        <v/>
      </c>
      <c r="G52" s="33" t="str">
        <f ca="1">IFERROR(INDIRECT(ADDRESS(2,MATCH($N$2,#REF!,0),1,2,"TUAN2")),"")</f>
        <v/>
      </c>
      <c r="H52" s="34" t="str">
        <f ca="1">IFERROR(INDIRECT(ADDRESS(2,MATCH($U$2,#REF!,0),1,2,"TUAN2")),"")</f>
        <v/>
      </c>
      <c r="I52" s="32" t="str">
        <f ca="1">IFERROR(INDIRECT(ADDRESS(2,MATCH($Q$2,#REF!,0),1,2,"TUAN3")),"")</f>
        <v/>
      </c>
      <c r="J52" s="33" t="str">
        <f ca="1">IFERROR(INDIRECT(ADDRESS(2,MATCH($N$2,#REF!,0),1,2,"TUAN3")),"")</f>
        <v/>
      </c>
      <c r="K52" s="34" t="str">
        <f ca="1">IFERROR(INDIRECT(ADDRESS(2,MATCH($U$2,#REF!,0),1,2,"TUAN3")),"")</f>
        <v/>
      </c>
      <c r="L52" s="32" t="str">
        <f ca="1">IFERROR(INDIRECT(ADDRESS(2,MATCH($Q$2,#REF!,0),1,2,"TUAN4")),"")</f>
        <v/>
      </c>
      <c r="M52" s="33" t="str">
        <f ca="1">IFERROR(INDIRECT(ADDRESS(2,MATCH($N$2,#REF!,0),1,2,"TUAN4")),"")</f>
        <v/>
      </c>
      <c r="N52" s="34" t="str">
        <f ca="1">IFERROR(INDIRECT(ADDRESS(2,MATCH($U$2,#REF!,0),1,2,"TUAN4")),"")</f>
        <v/>
      </c>
      <c r="O52" s="32" t="str">
        <f ca="1">IFERROR(INDIRECT(ADDRESS(2,MATCH($Q$2,#REF!,0),1,2,"TUAN5")),"")</f>
        <v/>
      </c>
      <c r="P52" s="33" t="str">
        <f ca="1">IFERROR(INDIRECT(ADDRESS(2,MATCH($N$2,#REF!,0),1,2,"TUAN5")),"")</f>
        <v/>
      </c>
      <c r="Q52" s="33" t="str">
        <f ca="1">IFERROR(INDIRECT(ADDRESS(2,MATCH($U$2,#REF!,0),1,2,"TUAN5")),"")</f>
        <v/>
      </c>
      <c r="R52" s="39" t="s">
        <v>36</v>
      </c>
      <c r="S52" s="40" t="str">
        <f ca="1">IF(COUNTIF(O7:Q64,"11*")=0,"",COUNTIF(O7:Q64,"11*"))</f>
        <v/>
      </c>
      <c r="T52" s="41"/>
      <c r="U52" s="104"/>
    </row>
    <row r="53" spans="1:25" ht="10.25" customHeight="1" x14ac:dyDescent="0.35">
      <c r="A53" s="118"/>
      <c r="B53" s="31">
        <v>6</v>
      </c>
      <c r="C53" s="32" t="str">
        <f ca="1">IFERROR(INDIRECT(ADDRESS(2,MATCH($Q$2,#REF!,0),1,2,"TUAN1")),"")</f>
        <v/>
      </c>
      <c r="D53" s="33" t="str">
        <f ca="1">IFERROR(INDIRECT(ADDRESS(2,MATCH($N$2,#REF!,0),1,2,"TUAN1")),"")</f>
        <v/>
      </c>
      <c r="E53" s="34" t="str">
        <f ca="1">IFERROR(INDIRECT(ADDRESS(2,MATCH($U$2,#REF!,0),1,2,"TUAN1")),"")</f>
        <v/>
      </c>
      <c r="F53" s="32" t="str">
        <f ca="1">IFERROR(INDIRECT(ADDRESS(2,MATCH($Q$2,#REF!,0),1,2,"TUAN2")),"")</f>
        <v/>
      </c>
      <c r="G53" s="33" t="str">
        <f ca="1">IFERROR(INDIRECT(ADDRESS(2,MATCH($N$2,#REF!,0),1,2,"TUAN2")),"")</f>
        <v/>
      </c>
      <c r="H53" s="34" t="str">
        <f ca="1">IFERROR(INDIRECT(ADDRESS(2,MATCH($U$2,#REF!,0),1,2,"TUAN2")),"")</f>
        <v/>
      </c>
      <c r="I53" s="32" t="str">
        <f ca="1">IFERROR(INDIRECT(ADDRESS(2,MATCH($Q$2,#REF!,0),1,2,"TUAN3")),"")</f>
        <v/>
      </c>
      <c r="J53" s="33" t="str">
        <f ca="1">IFERROR(INDIRECT(ADDRESS(2,MATCH($N$2,#REF!,0),1,2,"TUAN3")),"")</f>
        <v/>
      </c>
      <c r="K53" s="34" t="str">
        <f ca="1">IFERROR(INDIRECT(ADDRESS(2,MATCH($U$2,#REF!,0),1,2,"TUAN3")),"")</f>
        <v/>
      </c>
      <c r="L53" s="32" t="str">
        <f ca="1">IFERROR(INDIRECT(ADDRESS(2,MATCH($Q$2,#REF!,0),1,2,"TUAN4")),"")</f>
        <v/>
      </c>
      <c r="M53" s="33" t="str">
        <f ca="1">IFERROR(INDIRECT(ADDRESS(2,MATCH($N$2,#REF!,0),1,2,"TUAN4")),"")</f>
        <v/>
      </c>
      <c r="N53" s="34" t="str">
        <f ca="1">IFERROR(INDIRECT(ADDRESS(2,MATCH($U$2,#REF!,0),1,2,"TUAN4")),"")</f>
        <v/>
      </c>
      <c r="O53" s="32" t="str">
        <f ca="1">IFERROR(INDIRECT(ADDRESS(2,MATCH($Q$2,#REF!,0),1,2,"TUAN5")),"")</f>
        <v/>
      </c>
      <c r="P53" s="33" t="str">
        <f ca="1">IFERROR(INDIRECT(ADDRESS(2,MATCH($N$2,#REF!,0),1,2,"TUAN5")),"")</f>
        <v/>
      </c>
      <c r="Q53" s="33" t="str">
        <f ca="1">IFERROR(INDIRECT(ADDRESS(2,MATCH($U$2,#REF!,0),1,2,"TUAN5")),"")</f>
        <v/>
      </c>
      <c r="R53" s="39" t="s">
        <v>37</v>
      </c>
      <c r="S53" s="40" t="str">
        <f ca="1">IF(COUNTIF(O7:Q64,"KH*")=0,"",COUNTIF(O7:Q64,"KH*"))</f>
        <v/>
      </c>
      <c r="T53" s="41"/>
      <c r="U53" s="104"/>
    </row>
    <row r="54" spans="1:25" ht="10.25" customHeight="1" x14ac:dyDescent="0.35">
      <c r="A54" s="118"/>
      <c r="B54" s="31">
        <v>7</v>
      </c>
      <c r="C54" s="32" t="str">
        <f ca="1">IFERROR(INDIRECT(ADDRESS(2,MATCH($Q$2,#REF!,0),1,2,"TUAN1")),"")</f>
        <v/>
      </c>
      <c r="D54" s="33" t="str">
        <f ca="1">IFERROR(INDIRECT(ADDRESS(2,MATCH($N$2,#REF!,0),1,2,"TUAN1")),"")</f>
        <v/>
      </c>
      <c r="E54" s="34" t="str">
        <f ca="1">IFERROR(INDIRECT(ADDRESS(2,MATCH($U$2,#REF!,0),1,2,"TUAN1")),"")</f>
        <v/>
      </c>
      <c r="F54" s="32" t="str">
        <f ca="1">IFERROR(INDIRECT(ADDRESS(2,MATCH($Q$2,#REF!,0),1,2,"TUAN2")),"")</f>
        <v/>
      </c>
      <c r="G54" s="33" t="str">
        <f ca="1">IFERROR(INDIRECT(ADDRESS(2,MATCH($N$2,#REF!,0),1,2,"TUAN2")),"")</f>
        <v/>
      </c>
      <c r="H54" s="34" t="str">
        <f ca="1">IFERROR(INDIRECT(ADDRESS(2,MATCH($U$2,#REF!,0),1,2,"TUAN2")),"")</f>
        <v/>
      </c>
      <c r="I54" s="32" t="str">
        <f ca="1">IFERROR(INDIRECT(ADDRESS(2,MATCH($Q$2,#REF!,0),1,2,"TUAN3")),"")</f>
        <v/>
      </c>
      <c r="J54" s="33" t="str">
        <f ca="1">IFERROR(INDIRECT(ADDRESS(2,MATCH($N$2,#REF!,0),1,2,"TUAN3")),"")</f>
        <v/>
      </c>
      <c r="K54" s="34" t="str">
        <f ca="1">IFERROR(INDIRECT(ADDRESS(2,MATCH($U$2,#REF!,0),1,2,"TUAN3")),"")</f>
        <v/>
      </c>
      <c r="L54" s="32" t="str">
        <f ca="1">IFERROR(INDIRECT(ADDRESS(2,MATCH($Q$2,#REF!,0),1,2,"TUAN4")),"")</f>
        <v/>
      </c>
      <c r="M54" s="33" t="str">
        <f ca="1">IFERROR(INDIRECT(ADDRESS(2,MATCH($N$2,#REF!,0),1,2,"TUAN4")),"")</f>
        <v/>
      </c>
      <c r="N54" s="34" t="str">
        <f ca="1">IFERROR(INDIRECT(ADDRESS(2,MATCH($U$2,#REF!,0),1,2,"TUAN4")),"")</f>
        <v/>
      </c>
      <c r="O54" s="32" t="str">
        <f ca="1">IFERROR(INDIRECT(ADDRESS(2,MATCH($Q$2,#REF!,0),1,2,"TUAN5")),"")</f>
        <v/>
      </c>
      <c r="P54" s="33" t="str">
        <f ca="1">IFERROR(INDIRECT(ADDRESS(2,MATCH($N$2,#REF!,0),1,2,"TUAN5")),"")</f>
        <v/>
      </c>
      <c r="Q54" s="33" t="str">
        <f ca="1">IFERROR(INDIRECT(ADDRESS(2,MATCH($U$2,#REF!,0),1,2,"TUAN5")),"")</f>
        <v/>
      </c>
      <c r="R54" s="45"/>
      <c r="S54" s="46"/>
      <c r="T54" s="41"/>
      <c r="U54" s="104"/>
    </row>
    <row r="55" spans="1:25" ht="10.25" customHeight="1" thickBot="1" x14ac:dyDescent="0.4">
      <c r="A55" s="119"/>
      <c r="B55" s="31">
        <v>8</v>
      </c>
      <c r="C55" s="32" t="str">
        <f ca="1">IFERROR(INDIRECT(ADDRESS(2,MATCH($Q$2,#REF!,0),1,2,"TUAN1")),"")</f>
        <v/>
      </c>
      <c r="D55" s="33" t="str">
        <f ca="1">IFERROR(INDIRECT(ADDRESS(2,MATCH($N$2,#REF!,0),1,2,"TUAN1")),"")</f>
        <v/>
      </c>
      <c r="E55" s="34" t="str">
        <f ca="1">IFERROR(INDIRECT(ADDRESS(2,MATCH($U$2,#REF!,0),1,2,"TUAN1")),"")</f>
        <v/>
      </c>
      <c r="F55" s="32" t="str">
        <f ca="1">IFERROR(INDIRECT(ADDRESS(2,MATCH($Q$2,#REF!,0),1,2,"TUAN2")),"")</f>
        <v/>
      </c>
      <c r="G55" s="33" t="str">
        <f ca="1">IFERROR(INDIRECT(ADDRESS(2,MATCH($N$2,#REF!,0),1,2,"TUAN2")),"")</f>
        <v/>
      </c>
      <c r="H55" s="34" t="str">
        <f ca="1">IFERROR(INDIRECT(ADDRESS(2,MATCH($U$2,#REF!,0),1,2,"TUAN2")),"")</f>
        <v/>
      </c>
      <c r="I55" s="32" t="str">
        <f ca="1">IFERROR(INDIRECT(ADDRESS(2,MATCH($Q$2,#REF!,0),1,2,"TUAN3")),"")</f>
        <v/>
      </c>
      <c r="J55" s="33" t="str">
        <f ca="1">IFERROR(INDIRECT(ADDRESS(2,MATCH($N$2,#REF!,0),1,2,"TUAN3")),"")</f>
        <v/>
      </c>
      <c r="K55" s="34" t="str">
        <f ca="1">IFERROR(INDIRECT(ADDRESS(2,MATCH($U$2,#REF!,0),1,2,"TUAN3")),"")</f>
        <v/>
      </c>
      <c r="L55" s="32" t="str">
        <f ca="1">IFERROR(INDIRECT(ADDRESS(2,MATCH($Q$2,#REF!,0),1,2,"TUAN4")),"")</f>
        <v/>
      </c>
      <c r="M55" s="33" t="str">
        <f ca="1">IFERROR(INDIRECT(ADDRESS(2,MATCH($N$2,#REF!,0),1,2,"TUAN4")),"")</f>
        <v/>
      </c>
      <c r="N55" s="34" t="str">
        <f ca="1">IFERROR(INDIRECT(ADDRESS(2,MATCH($U$2,#REF!,0),1,2,"TUAN4")),"")</f>
        <v/>
      </c>
      <c r="O55" s="32" t="str">
        <f ca="1">IFERROR(INDIRECT(ADDRESS(2,MATCH($Q$2,#REF!,0),1,2,"TUAN5")),"")</f>
        <v/>
      </c>
      <c r="P55" s="33" t="str">
        <f ca="1">IFERROR(INDIRECT(ADDRESS(2,MATCH($N$2,#REF!,0),1,2,"TUAN5")),"")</f>
        <v/>
      </c>
      <c r="Q55" s="33" t="str">
        <f ca="1">IFERROR(INDIRECT(ADDRESS(2,MATCH($U$2,#REF!,0),1,2,"TUAN5")),"")</f>
        <v/>
      </c>
      <c r="R55" s="45"/>
      <c r="S55" s="46"/>
      <c r="T55" s="41"/>
      <c r="U55" s="105"/>
    </row>
    <row r="56" spans="1:25" s="52" customFormat="1" ht="10.25" customHeight="1" x14ac:dyDescent="0.35">
      <c r="A56" s="58"/>
      <c r="B56" s="48"/>
      <c r="C56" s="32" t="str">
        <f ca="1">IFERROR(INDIRECT(ADDRESS(2,MATCH($Q$2,#REF!,0),1,2,"TUAN1")),"")</f>
        <v/>
      </c>
      <c r="D56" s="33" t="str">
        <f ca="1">IFERROR(INDIRECT(ADDRESS(2,MATCH($N$2,#REF!,0),1,2,"TUAN1")),"")</f>
        <v/>
      </c>
      <c r="E56" s="34" t="str">
        <f ca="1">IFERROR(INDIRECT(ADDRESS(2,MATCH($U$2,#REF!,0),1,2,"TUAN1")),"")</f>
        <v/>
      </c>
      <c r="F56" s="32" t="str">
        <f ca="1">IFERROR(INDIRECT(ADDRESS(2,MATCH($Q$2,#REF!,0),1,2,"TUAN2")),"")</f>
        <v/>
      </c>
      <c r="G56" s="33" t="str">
        <f ca="1">IFERROR(INDIRECT(ADDRESS(2,MATCH($N$2,#REF!,0),1,2,"TUAN2")),"")</f>
        <v/>
      </c>
      <c r="H56" s="34" t="str">
        <f ca="1">IFERROR(INDIRECT(ADDRESS(2,MATCH($U$2,#REF!,0),1,2,"TUAN2")),"")</f>
        <v/>
      </c>
      <c r="I56" s="32" t="str">
        <f ca="1">IFERROR(INDIRECT(ADDRESS(2,MATCH($Q$2,#REF!,0),1,2,"TUAN3")),"")</f>
        <v/>
      </c>
      <c r="J56" s="33" t="str">
        <f ca="1">IFERROR(INDIRECT(ADDRESS(2,MATCH($N$2,#REF!,0),1,2,"TUAN3")),"")</f>
        <v/>
      </c>
      <c r="K56" s="34" t="str">
        <f ca="1">IFERROR(INDIRECT(ADDRESS(2,MATCH($U$2,#REF!,0),1,2,"TUAN3")),"")</f>
        <v/>
      </c>
      <c r="L56" s="32" t="str">
        <f ca="1">IFERROR(INDIRECT(ADDRESS(2,MATCH($Q$2,#REF!,0),1,2,"TUAN4")),"")</f>
        <v/>
      </c>
      <c r="M56" s="33" t="str">
        <f ca="1">IFERROR(INDIRECT(ADDRESS(2,MATCH($N$2,#REF!,0),1,2,"TUAN4")),"")</f>
        <v/>
      </c>
      <c r="N56" s="34" t="str">
        <f ca="1">IFERROR(INDIRECT(ADDRESS(2,MATCH($U$2,#REF!,0),1,2,"TUAN4")),"")</f>
        <v/>
      </c>
      <c r="O56" s="32" t="str">
        <f ca="1">IFERROR(INDIRECT(ADDRESS(2,MATCH($Q$2,#REF!,0),1,2,"TUAN5")),"")</f>
        <v/>
      </c>
      <c r="P56" s="33" t="str">
        <f ca="1">IFERROR(INDIRECT(ADDRESS(2,MATCH($N$2,#REF!,0),1,2,"TUAN5")),"")</f>
        <v/>
      </c>
      <c r="Q56" s="33" t="str">
        <f ca="1">IFERROR(INDIRECT(ADDRESS(2,MATCH($U$2,#REF!,0),1,2,"TUAN5")),"")</f>
        <v/>
      </c>
      <c r="R56" s="122" t="s">
        <v>40</v>
      </c>
      <c r="S56" s="123"/>
      <c r="T56" s="123"/>
      <c r="U56" s="124"/>
      <c r="X56"/>
      <c r="Y56"/>
    </row>
    <row r="57" spans="1:25" ht="10.25" customHeight="1" x14ac:dyDescent="0.35">
      <c r="A57" s="110" t="s">
        <v>5</v>
      </c>
      <c r="B57" s="53">
        <v>1</v>
      </c>
      <c r="C57" s="32" t="str">
        <f ca="1">IFERROR(INDIRECT(ADDRESS(2,MATCH($Q$2,#REF!,0),1,2,"TUAN1")),"")</f>
        <v/>
      </c>
      <c r="D57" s="33" t="str">
        <f ca="1">IFERROR(INDIRECT(ADDRESS(2,MATCH($N$2,#REF!,0),1,2,"TUAN1")),"")</f>
        <v/>
      </c>
      <c r="E57" s="34" t="str">
        <f ca="1">IFERROR(INDIRECT(ADDRESS(2,MATCH($U$2,#REF!,0),1,2,"TUAN1")),"")</f>
        <v/>
      </c>
      <c r="F57" s="32" t="str">
        <f ca="1">IFERROR(INDIRECT(ADDRESS(2,MATCH($Q$2,#REF!,0),1,2,"TUAN2")),"")</f>
        <v/>
      </c>
      <c r="G57" s="33" t="str">
        <f ca="1">IFERROR(INDIRECT(ADDRESS(2,MATCH($N$2,#REF!,0),1,2,"TUAN2")),"")</f>
        <v/>
      </c>
      <c r="H57" s="34" t="str">
        <f ca="1">IFERROR(INDIRECT(ADDRESS(2,MATCH($U$2,#REF!,0),1,2,"TUAN2")),"")</f>
        <v/>
      </c>
      <c r="I57" s="32" t="str">
        <f ca="1">IFERROR(INDIRECT(ADDRESS(2,MATCH($Q$2,#REF!,0),1,2,"TUAN3")),"")</f>
        <v/>
      </c>
      <c r="J57" s="33" t="str">
        <f ca="1">IFERROR(INDIRECT(ADDRESS(2,MATCH($N$2,#REF!,0),1,2,"TUAN3")),"")</f>
        <v/>
      </c>
      <c r="K57" s="34" t="str">
        <f ca="1">IFERROR(INDIRECT(ADDRESS(2,MATCH($U$2,#REF!,0),1,2,"TUAN3")),"")</f>
        <v/>
      </c>
      <c r="L57" s="32" t="str">
        <f ca="1">IFERROR(INDIRECT(ADDRESS(2,MATCH($Q$2,#REF!,0),1,2,"TUAN4")),"")</f>
        <v/>
      </c>
      <c r="M57" s="33" t="str">
        <f ca="1">IFERROR(INDIRECT(ADDRESS(2,MATCH($N$2,#REF!,0),1,2,"TUAN4")),"")</f>
        <v/>
      </c>
      <c r="N57" s="34" t="str">
        <f ca="1">IFERROR(INDIRECT(ADDRESS(2,MATCH($U$2,#REF!,0),1,2,"TUAN4")),"")</f>
        <v/>
      </c>
      <c r="O57" s="32" t="str">
        <f ca="1">IFERROR(INDIRECT(ADDRESS(2,MATCH($Q$2,#REF!,0),1,2,"TUAN5")),"")</f>
        <v/>
      </c>
      <c r="P57" s="33" t="str">
        <f ca="1">IFERROR(INDIRECT(ADDRESS(2,MATCH($N$2,#REF!,0),1,2,"TUAN5")),"")</f>
        <v/>
      </c>
      <c r="Q57" s="33" t="str">
        <f ca="1">IFERROR(INDIRECT(ADDRESS(2,MATCH($U$2,#REF!,0),1,2,"TUAN5")),"")</f>
        <v/>
      </c>
      <c r="R57" s="125"/>
      <c r="S57" s="126"/>
      <c r="T57" s="126"/>
      <c r="U57" s="127"/>
    </row>
    <row r="58" spans="1:25" ht="10.25" customHeight="1" x14ac:dyDescent="0.35">
      <c r="A58" s="111"/>
      <c r="B58" s="53">
        <v>2</v>
      </c>
      <c r="C58" s="32" t="str">
        <f ca="1">IFERROR(INDIRECT(ADDRESS(2,MATCH($Q$2,#REF!,0),1,2,"TUAN1")),"")</f>
        <v/>
      </c>
      <c r="D58" s="33" t="str">
        <f ca="1">IFERROR(INDIRECT(ADDRESS(2,MATCH($N$2,#REF!,0),1,2,"TUAN1")),"")</f>
        <v/>
      </c>
      <c r="E58" s="34" t="str">
        <f ca="1">IFERROR(INDIRECT(ADDRESS(2,MATCH($U$2,#REF!,0),1,2,"TUAN1")),"")</f>
        <v/>
      </c>
      <c r="F58" s="32" t="str">
        <f ca="1">IFERROR(INDIRECT(ADDRESS(2,MATCH($Q$2,#REF!,0),1,2,"TUAN2")),"")</f>
        <v/>
      </c>
      <c r="G58" s="33" t="str">
        <f ca="1">IFERROR(INDIRECT(ADDRESS(2,MATCH($N$2,#REF!,0),1,2,"TUAN2")),"")</f>
        <v/>
      </c>
      <c r="H58" s="34" t="str">
        <f ca="1">IFERROR(INDIRECT(ADDRESS(2,MATCH($U$2,#REF!,0),1,2,"TUAN2")),"")</f>
        <v/>
      </c>
      <c r="I58" s="32" t="str">
        <f ca="1">IFERROR(INDIRECT(ADDRESS(2,MATCH($Q$2,#REF!,0),1,2,"TUAN3")),"")</f>
        <v/>
      </c>
      <c r="J58" s="33" t="str">
        <f ca="1">IFERROR(INDIRECT(ADDRESS(2,MATCH($N$2,#REF!,0),1,2,"TUAN3")),"")</f>
        <v/>
      </c>
      <c r="K58" s="34" t="str">
        <f ca="1">IFERROR(INDIRECT(ADDRESS(2,MATCH($U$2,#REF!,0),1,2,"TUAN3")),"")</f>
        <v/>
      </c>
      <c r="L58" s="32" t="str">
        <f ca="1">IFERROR(INDIRECT(ADDRESS(2,MATCH($Q$2,#REF!,0),1,2,"TUAN4")),"")</f>
        <v/>
      </c>
      <c r="M58" s="33" t="str">
        <f ca="1">IFERROR(INDIRECT(ADDRESS(2,MATCH($N$2,#REF!,0),1,2,"TUAN4")),"")</f>
        <v/>
      </c>
      <c r="N58" s="34" t="str">
        <f ca="1">IFERROR(INDIRECT(ADDRESS(2,MATCH($U$2,#REF!,0),1,2,"TUAN4")),"")</f>
        <v/>
      </c>
      <c r="O58" s="32" t="str">
        <f ca="1">IFERROR(INDIRECT(ADDRESS(2,MATCH($Q$2,#REF!,0),1,2,"TUAN5")),"")</f>
        <v/>
      </c>
      <c r="P58" s="33" t="str">
        <f ca="1">IFERROR(INDIRECT(ADDRESS(2,MATCH($N$2,#REF!,0),1,2,"TUAN5")),"")</f>
        <v/>
      </c>
      <c r="Q58" s="33" t="str">
        <f ca="1">IFERROR(INDIRECT(ADDRESS(2,MATCH($U$2,#REF!,0),1,2,"TUAN5")),"")</f>
        <v/>
      </c>
      <c r="R58" s="45"/>
      <c r="S58" s="46"/>
      <c r="T58" s="41"/>
      <c r="U58" s="120">
        <f ca="1">SUM(U10+U20+U30+U40+U50)</f>
        <v>0</v>
      </c>
    </row>
    <row r="59" spans="1:25" ht="10.25" customHeight="1" x14ac:dyDescent="0.35">
      <c r="A59" s="111"/>
      <c r="B59" s="53">
        <v>3</v>
      </c>
      <c r="C59" s="32" t="str">
        <f ca="1">IFERROR(INDIRECT(ADDRESS(2,MATCH($Q$2,#REF!,0),1,2,"TUAN1")),"")</f>
        <v/>
      </c>
      <c r="D59" s="33" t="str">
        <f ca="1">IFERROR(INDIRECT(ADDRESS(2,MATCH($N$2,#REF!,0),1,2,"TUAN1")),"")</f>
        <v/>
      </c>
      <c r="E59" s="34" t="str">
        <f ca="1">IFERROR(INDIRECT(ADDRESS(2,MATCH($U$2,#REF!,0),1,2,"TUAN1")),"")</f>
        <v/>
      </c>
      <c r="F59" s="32" t="str">
        <f ca="1">IFERROR(INDIRECT(ADDRESS(2,MATCH($Q$2,#REF!,0),1,2,"TUAN2")),"")</f>
        <v/>
      </c>
      <c r="G59" s="33" t="str">
        <f ca="1">IFERROR(INDIRECT(ADDRESS(2,MATCH($N$2,#REF!,0),1,2,"TUAN2")),"")</f>
        <v/>
      </c>
      <c r="H59" s="34" t="str">
        <f ca="1">IFERROR(INDIRECT(ADDRESS(2,MATCH($U$2,#REF!,0),1,2,"TUAN2")),"")</f>
        <v/>
      </c>
      <c r="I59" s="32" t="str">
        <f ca="1">IFERROR(INDIRECT(ADDRESS(2,MATCH($Q$2,#REF!,0),1,2,"TUAN3")),"")</f>
        <v/>
      </c>
      <c r="J59" s="33" t="str">
        <f ca="1">IFERROR(INDIRECT(ADDRESS(2,MATCH($N$2,#REF!,0),1,2,"TUAN3")),"")</f>
        <v/>
      </c>
      <c r="K59" s="34" t="str">
        <f ca="1">IFERROR(INDIRECT(ADDRESS(2,MATCH($U$2,#REF!,0),1,2,"TUAN3")),"")</f>
        <v/>
      </c>
      <c r="L59" s="32" t="str">
        <f ca="1">IFERROR(INDIRECT(ADDRESS(2,MATCH($Q$2,#REF!,0),1,2,"TUAN4")),"")</f>
        <v/>
      </c>
      <c r="M59" s="33" t="str">
        <f ca="1">IFERROR(INDIRECT(ADDRESS(2,MATCH($N$2,#REF!,0),1,2,"TUAN4")),"")</f>
        <v/>
      </c>
      <c r="N59" s="34" t="str">
        <f ca="1">IFERROR(INDIRECT(ADDRESS(2,MATCH($U$2,#REF!,0),1,2,"TUAN4")),"")</f>
        <v/>
      </c>
      <c r="O59" s="32" t="str">
        <f ca="1">IFERROR(INDIRECT(ADDRESS(2,MATCH($Q$2,#REF!,0),1,2,"TUAN5")),"")</f>
        <v/>
      </c>
      <c r="P59" s="33" t="str">
        <f ca="1">IFERROR(INDIRECT(ADDRESS(2,MATCH($N$2,#REF!,0),1,2,"TUAN5")),"")</f>
        <v/>
      </c>
      <c r="Q59" s="33" t="str">
        <f ca="1">IFERROR(INDIRECT(ADDRESS(2,MATCH($U$2,#REF!,0),1,2,"TUAN5")),"")</f>
        <v/>
      </c>
      <c r="R59" s="45"/>
      <c r="S59" s="46"/>
      <c r="T59" s="41"/>
      <c r="U59" s="120"/>
    </row>
    <row r="60" spans="1:25" ht="10.25" customHeight="1" x14ac:dyDescent="0.35">
      <c r="A60" s="111"/>
      <c r="B60" s="53">
        <v>4</v>
      </c>
      <c r="C60" s="32" t="str">
        <f ca="1">IFERROR(INDIRECT(ADDRESS(2,MATCH($Q$2,#REF!,0),1,2,"TUAN1")),"")</f>
        <v/>
      </c>
      <c r="D60" s="33" t="str">
        <f ca="1">IFERROR(INDIRECT(ADDRESS(2,MATCH($N$2,#REF!,0),1,2,"TUAN1")),"")</f>
        <v/>
      </c>
      <c r="E60" s="34" t="str">
        <f ca="1">IFERROR(INDIRECT(ADDRESS(2,MATCH($U$2,#REF!,0),1,2,"TUAN1")),"")</f>
        <v/>
      </c>
      <c r="F60" s="32" t="str">
        <f ca="1">IFERROR(INDIRECT(ADDRESS(2,MATCH($Q$2,#REF!,0),1,2,"TUAN2")),"")</f>
        <v/>
      </c>
      <c r="G60" s="33" t="str">
        <f ca="1">IFERROR(INDIRECT(ADDRESS(2,MATCH($N$2,#REF!,0),1,2,"TUAN2")),"")</f>
        <v/>
      </c>
      <c r="H60" s="34" t="str">
        <f ca="1">IFERROR(INDIRECT(ADDRESS(2,MATCH($U$2,#REF!,0),1,2,"TUAN2")),"")</f>
        <v/>
      </c>
      <c r="I60" s="32" t="str">
        <f ca="1">IFERROR(INDIRECT(ADDRESS(2,MATCH($Q$2,#REF!,0),1,2,"TUAN3")),"")</f>
        <v/>
      </c>
      <c r="J60" s="33" t="str">
        <f ca="1">IFERROR(INDIRECT(ADDRESS(2,MATCH($N$2,#REF!,0),1,2,"TUAN3")),"")</f>
        <v/>
      </c>
      <c r="K60" s="34" t="str">
        <f ca="1">IFERROR(INDIRECT(ADDRESS(2,MATCH($U$2,#REF!,0),1,2,"TUAN3")),"")</f>
        <v/>
      </c>
      <c r="L60" s="32" t="str">
        <f ca="1">IFERROR(INDIRECT(ADDRESS(2,MATCH($Q$2,#REF!,0),1,2,"TUAN4")),"")</f>
        <v/>
      </c>
      <c r="M60" s="33" t="str">
        <f ca="1">IFERROR(INDIRECT(ADDRESS(2,MATCH($N$2,#REF!,0),1,2,"TUAN4")),"")</f>
        <v/>
      </c>
      <c r="N60" s="34" t="str">
        <f ca="1">IFERROR(INDIRECT(ADDRESS(2,MATCH($U$2,#REF!,0),1,2,"TUAN4")),"")</f>
        <v/>
      </c>
      <c r="O60" s="32" t="str">
        <f ca="1">IFERROR(INDIRECT(ADDRESS(2,MATCH($Q$2,#REF!,0),1,2,"TUAN5")),"")</f>
        <v/>
      </c>
      <c r="P60" s="33" t="str">
        <f ca="1">IFERROR(INDIRECT(ADDRESS(2,MATCH($N$2,#REF!,0),1,2,"TUAN5")),"")</f>
        <v/>
      </c>
      <c r="Q60" s="33" t="str">
        <f ca="1">IFERROR(INDIRECT(ADDRESS(2,MATCH($U$2,#REF!,0),1,2,"TUAN5")),"")</f>
        <v/>
      </c>
      <c r="R60" s="45"/>
      <c r="S60" s="46"/>
      <c r="T60" s="41"/>
      <c r="U60" s="120"/>
    </row>
    <row r="61" spans="1:25" ht="10.25" customHeight="1" x14ac:dyDescent="0.35">
      <c r="A61" s="111"/>
      <c r="B61" s="44"/>
      <c r="C61" s="32" t="str">
        <f ca="1">IFERROR(INDIRECT(ADDRESS(2,MATCH($Q$2,#REF!,0),1,2,"TUAN1")),"")</f>
        <v/>
      </c>
      <c r="D61" s="33" t="str">
        <f ca="1">IFERROR(INDIRECT(ADDRESS(2,MATCH($N$2,#REF!,0),1,2,"TUAN1")),"")</f>
        <v/>
      </c>
      <c r="E61" s="34" t="str">
        <f ca="1">IFERROR(INDIRECT(ADDRESS(2,MATCH($U$2,#REF!,0),1,2,"TUAN1")),"")</f>
        <v/>
      </c>
      <c r="F61" s="32" t="str">
        <f ca="1">IFERROR(INDIRECT(ADDRESS(2,MATCH($Q$2,#REF!,0),1,2,"TUAN2")),"")</f>
        <v/>
      </c>
      <c r="G61" s="33" t="str">
        <f ca="1">IFERROR(INDIRECT(ADDRESS(2,MATCH($N$2,#REF!,0),1,2,"TUAN2")),"")</f>
        <v/>
      </c>
      <c r="H61" s="34" t="str">
        <f ca="1">IFERROR(INDIRECT(ADDRESS(2,MATCH($U$2,#REF!,0),1,2,"TUAN2")),"")</f>
        <v/>
      </c>
      <c r="I61" s="32" t="str">
        <f ca="1">IFERROR(INDIRECT(ADDRESS(2,MATCH($Q$2,#REF!,0),1,2,"TUAN3")),"")</f>
        <v/>
      </c>
      <c r="J61" s="33" t="str">
        <f ca="1">IFERROR(INDIRECT(ADDRESS(2,MATCH($N$2,#REF!,0),1,2,"TUAN3")),"")</f>
        <v/>
      </c>
      <c r="K61" s="34" t="str">
        <f ca="1">IFERROR(INDIRECT(ADDRESS(2,MATCH($U$2,#REF!,0),1,2,"TUAN3")),"")</f>
        <v/>
      </c>
      <c r="L61" s="32" t="str">
        <f ca="1">IFERROR(INDIRECT(ADDRESS(2,MATCH($Q$2,#REF!,0),1,2,"TUAN4")),"")</f>
        <v/>
      </c>
      <c r="M61" s="33" t="str">
        <f ca="1">IFERROR(INDIRECT(ADDRESS(2,MATCH($N$2,#REF!,0),1,2,"TUAN4")),"")</f>
        <v/>
      </c>
      <c r="N61" s="34" t="str">
        <f ca="1">IFERROR(INDIRECT(ADDRESS(2,MATCH($U$2,#REF!,0),1,2,"TUAN4")),"")</f>
        <v/>
      </c>
      <c r="O61" s="32" t="str">
        <f ca="1">IFERROR(INDIRECT(ADDRESS(2,MATCH($Q$2,#REF!,0),1,2,"TUAN5")),"")</f>
        <v/>
      </c>
      <c r="P61" s="33" t="str">
        <f ca="1">IFERROR(INDIRECT(ADDRESS(2,MATCH($N$2,#REF!,0),1,2,"TUAN5")),"")</f>
        <v/>
      </c>
      <c r="Q61" s="33" t="str">
        <f ca="1">IFERROR(INDIRECT(ADDRESS(2,MATCH($U$2,#REF!,0),1,2,"TUAN5")),"")</f>
        <v/>
      </c>
      <c r="R61" s="45"/>
      <c r="S61" s="46"/>
      <c r="T61" s="41"/>
      <c r="U61" s="120"/>
    </row>
    <row r="62" spans="1:25" ht="10.25" customHeight="1" x14ac:dyDescent="0.35">
      <c r="A62" s="111"/>
      <c r="B62" s="53">
        <v>5</v>
      </c>
      <c r="C62" s="32" t="str">
        <f ca="1">IFERROR(INDIRECT(ADDRESS(2,MATCH($Q$2,#REF!,0),1,2,"TUAN1")),"")</f>
        <v/>
      </c>
      <c r="D62" s="33" t="str">
        <f ca="1">IFERROR(INDIRECT(ADDRESS(2,MATCH($N$2,#REF!,0),1,2,"TUAN1")),"")</f>
        <v/>
      </c>
      <c r="E62" s="34" t="str">
        <f ca="1">IFERROR(INDIRECT(ADDRESS(2,MATCH($U$2,#REF!,0),1,2,"TUAN1")),"")</f>
        <v/>
      </c>
      <c r="F62" s="32" t="str">
        <f ca="1">IFERROR(INDIRECT(ADDRESS(2,MATCH($Q$2,#REF!,0),1,2,"TUAN2")),"")</f>
        <v/>
      </c>
      <c r="G62" s="33" t="str">
        <f ca="1">IFERROR(INDIRECT(ADDRESS(2,MATCH($N$2,#REF!,0),1,2,"TUAN2")),"")</f>
        <v/>
      </c>
      <c r="H62" s="34" t="str">
        <f ca="1">IFERROR(INDIRECT(ADDRESS(2,MATCH($U$2,#REF!,0),1,2,"TUAN2")),"")</f>
        <v/>
      </c>
      <c r="I62" s="32" t="str">
        <f ca="1">IFERROR(INDIRECT(ADDRESS(2,MATCH($Q$2,#REF!,0),1,2,"TUAN3")),"")</f>
        <v/>
      </c>
      <c r="J62" s="33" t="str">
        <f ca="1">IFERROR(INDIRECT(ADDRESS(2,MATCH($N$2,#REF!,0),1,2,"TUAN3")),"")</f>
        <v/>
      </c>
      <c r="K62" s="34" t="str">
        <f ca="1">IFERROR(INDIRECT(ADDRESS(2,MATCH($U$2,#REF!,0),1,2,"TUAN3")),"")</f>
        <v/>
      </c>
      <c r="L62" s="32" t="str">
        <f ca="1">IFERROR(INDIRECT(ADDRESS(2,MATCH($Q$2,#REF!,0),1,2,"TUAN4")),"")</f>
        <v/>
      </c>
      <c r="M62" s="33" t="str">
        <f ca="1">IFERROR(INDIRECT(ADDRESS(2,MATCH($N$2,#REF!,0),1,2,"TUAN4")),"")</f>
        <v/>
      </c>
      <c r="N62" s="34" t="str">
        <f ca="1">IFERROR(INDIRECT(ADDRESS(2,MATCH($U$2,#REF!,0),1,2,"TUAN4")),"")</f>
        <v/>
      </c>
      <c r="O62" s="32" t="str">
        <f ca="1">IFERROR(INDIRECT(ADDRESS(2,MATCH($Q$2,#REF!,0),1,2,"TUAN5")),"")</f>
        <v/>
      </c>
      <c r="P62" s="33" t="str">
        <f ca="1">IFERROR(INDIRECT(ADDRESS(2,MATCH($N$2,#REF!,0),1,2,"TUAN5")),"")</f>
        <v/>
      </c>
      <c r="Q62" s="33" t="str">
        <f ca="1">IFERROR(INDIRECT(ADDRESS(2,MATCH($U$2,#REF!,0),1,2,"TUAN5")),"")</f>
        <v/>
      </c>
      <c r="R62" s="45"/>
      <c r="S62" s="46"/>
      <c r="T62" s="41"/>
      <c r="U62" s="120"/>
    </row>
    <row r="63" spans="1:25" ht="10.25" customHeight="1" x14ac:dyDescent="0.35">
      <c r="A63" s="111"/>
      <c r="B63" s="53">
        <v>6</v>
      </c>
      <c r="C63" s="32" t="str">
        <f ca="1">IFERROR(INDIRECT(ADDRESS(2,MATCH($Q$2,#REF!,0),1,2,"TUAN1")),"")</f>
        <v/>
      </c>
      <c r="D63" s="33" t="str">
        <f ca="1">IFERROR(INDIRECT(ADDRESS(2,MATCH($N$2,#REF!,0),1,2,"TUAN1")),"")</f>
        <v/>
      </c>
      <c r="E63" s="34" t="str">
        <f ca="1">IFERROR(INDIRECT(ADDRESS(2,MATCH($U$2,#REF!,0),1,2,"TUAN1")),"")</f>
        <v/>
      </c>
      <c r="F63" s="32" t="str">
        <f ca="1">IFERROR(INDIRECT(ADDRESS(2,MATCH($Q$2,#REF!,0),1,2,"TUAN2")),"")</f>
        <v/>
      </c>
      <c r="G63" s="33" t="str">
        <f ca="1">IFERROR(INDIRECT(ADDRESS(2,MATCH($N$2,#REF!,0),1,2,"TUAN2")),"")</f>
        <v/>
      </c>
      <c r="H63" s="34" t="str">
        <f ca="1">IFERROR(INDIRECT(ADDRESS(2,MATCH($U$2,#REF!,0),1,2,"TUAN2")),"")</f>
        <v/>
      </c>
      <c r="I63" s="32" t="str">
        <f ca="1">IFERROR(INDIRECT(ADDRESS(2,MATCH($Q$2,#REF!,0),1,2,"TUAN3")),"")</f>
        <v/>
      </c>
      <c r="J63" s="33" t="str">
        <f ca="1">IFERROR(INDIRECT(ADDRESS(2,MATCH($N$2,#REF!,0),1,2,"TUAN3")),"")</f>
        <v/>
      </c>
      <c r="K63" s="34" t="str">
        <f ca="1">IFERROR(INDIRECT(ADDRESS(2,MATCH($U$2,#REF!,0),1,2,"TUAN3")),"")</f>
        <v/>
      </c>
      <c r="L63" s="32" t="str">
        <f ca="1">IFERROR(INDIRECT(ADDRESS(2,MATCH($Q$2,#REF!,0),1,2,"TUAN4")),"")</f>
        <v/>
      </c>
      <c r="M63" s="33" t="str">
        <f ca="1">IFERROR(INDIRECT(ADDRESS(2,MATCH($N$2,#REF!,0),1,2,"TUAN4")),"")</f>
        <v/>
      </c>
      <c r="N63" s="34" t="str">
        <f ca="1">IFERROR(INDIRECT(ADDRESS(2,MATCH($U$2,#REF!,0),1,2,"TUAN4")),"")</f>
        <v/>
      </c>
      <c r="O63" s="32" t="str">
        <f ca="1">IFERROR(INDIRECT(ADDRESS(2,MATCH($Q$2,#REF!,0),1,2,"TUAN5")),"")</f>
        <v/>
      </c>
      <c r="P63" s="33" t="str">
        <f ca="1">IFERROR(INDIRECT(ADDRESS(2,MATCH($N$2,#REF!,0),1,2,"TUAN5")),"")</f>
        <v/>
      </c>
      <c r="Q63" s="33" t="str">
        <f ca="1">IFERROR(INDIRECT(ADDRESS(2,MATCH($U$2,#REF!,0),1,2,"TUAN5")),"")</f>
        <v/>
      </c>
      <c r="R63" s="45"/>
      <c r="S63" s="46"/>
      <c r="T63" s="41"/>
      <c r="U63" s="120"/>
    </row>
    <row r="64" spans="1:25" ht="10.25" customHeight="1" x14ac:dyDescent="0.35">
      <c r="A64" s="111"/>
      <c r="B64" s="53">
        <v>7</v>
      </c>
      <c r="C64" s="32" t="str">
        <f ca="1">IFERROR(INDIRECT(ADDRESS(2,MATCH($Q$2,#REF!,0),1,2,"TUAN1")),"")</f>
        <v/>
      </c>
      <c r="D64" s="33" t="str">
        <f ca="1">IFERROR(INDIRECT(ADDRESS(2,MATCH($N$2,#REF!,0),1,2,"TUAN1")),"")</f>
        <v/>
      </c>
      <c r="E64" s="34" t="str">
        <f ca="1">IFERROR(INDIRECT(ADDRESS(2,MATCH($U$2,#REF!,0),1,2,"TUAN1")),"")</f>
        <v/>
      </c>
      <c r="F64" s="32" t="str">
        <f ca="1">IFERROR(INDIRECT(ADDRESS(2,MATCH($Q$2,#REF!,0),1,2,"TUAN2")),"")</f>
        <v/>
      </c>
      <c r="G64" s="33" t="str">
        <f ca="1">IFERROR(INDIRECT(ADDRESS(2,MATCH($N$2,#REF!,0),1,2,"TUAN2")),"")</f>
        <v/>
      </c>
      <c r="H64" s="34" t="str">
        <f ca="1">IFERROR(INDIRECT(ADDRESS(2,MATCH($U$2,#REF!,0),1,2,"TUAN2")),"")</f>
        <v/>
      </c>
      <c r="I64" s="32" t="str">
        <f ca="1">IFERROR(INDIRECT(ADDRESS(2,MATCH($Q$2,#REF!,0),1,2,"TUAN3")),"")</f>
        <v/>
      </c>
      <c r="J64" s="33" t="str">
        <f ca="1">IFERROR(INDIRECT(ADDRESS(2,MATCH($N$2,#REF!,0),1,2,"TUAN3")),"")</f>
        <v/>
      </c>
      <c r="K64" s="34" t="str">
        <f ca="1">IFERROR(INDIRECT(ADDRESS(2,MATCH($U$2,#REF!,0),1,2,"TUAN3")),"")</f>
        <v/>
      </c>
      <c r="L64" s="32" t="str">
        <f ca="1">IFERROR(INDIRECT(ADDRESS(2,MATCH($Q$2,#REF!,0),1,2,"TUAN4")),"")</f>
        <v/>
      </c>
      <c r="M64" s="33" t="str">
        <f ca="1">IFERROR(INDIRECT(ADDRESS(2,MATCH($N$2,#REF!,0),1,2,"TUAN4")),"")</f>
        <v/>
      </c>
      <c r="N64" s="34" t="str">
        <f ca="1">IFERROR(INDIRECT(ADDRESS(2,MATCH($U$2,#REF!,0),1,2,"TUAN4")),"")</f>
        <v/>
      </c>
      <c r="O64" s="32" t="str">
        <f ca="1">IFERROR(INDIRECT(ADDRESS(2,MATCH($Q$2,#REF!,0),1,2,"TUAN5")),"")</f>
        <v/>
      </c>
      <c r="P64" s="33" t="str">
        <f ca="1">IFERROR(INDIRECT(ADDRESS(2,MATCH($N$2,#REF!,0),1,2,"TUAN5")),"")</f>
        <v/>
      </c>
      <c r="Q64" s="33" t="str">
        <f ca="1">IFERROR(INDIRECT(ADDRESS(2,MATCH($U$2,#REF!,0),1,2,"TUAN5")),"")</f>
        <v/>
      </c>
      <c r="R64" s="45"/>
      <c r="S64" s="46"/>
      <c r="T64" s="41"/>
      <c r="U64" s="120"/>
    </row>
    <row r="65" spans="1:21" ht="10.25" customHeight="1" thickBot="1" x14ac:dyDescent="0.4">
      <c r="A65" s="112"/>
      <c r="B65" s="53">
        <v>8</v>
      </c>
      <c r="C65" s="32" t="str">
        <f ca="1">IFERROR(INDIRECT(ADDRESS(2,MATCH($Q$2,#REF!,0),1,2,"TUAN1")),"")</f>
        <v/>
      </c>
      <c r="D65" s="33" t="str">
        <f ca="1">IFERROR(INDIRECT(ADDRESS(2,MATCH($N$2,#REF!,0),1,2,"TUAN1")),"")</f>
        <v/>
      </c>
      <c r="E65" s="34" t="str">
        <f ca="1">IFERROR(INDIRECT(ADDRESS(2,MATCH($U$2,#REF!,0),1,2,"TUAN1")),"")</f>
        <v/>
      </c>
      <c r="F65" s="32" t="str">
        <f ca="1">IFERROR(INDIRECT(ADDRESS(2,MATCH($Q$2,#REF!,0),1,2,"TUAN2")),"")</f>
        <v/>
      </c>
      <c r="G65" s="33" t="str">
        <f ca="1">IFERROR(INDIRECT(ADDRESS(2,MATCH($N$2,#REF!,0),1,2,"TUAN2")),"")</f>
        <v/>
      </c>
      <c r="H65" s="34" t="str">
        <f ca="1">IFERROR(INDIRECT(ADDRESS(2,MATCH($U$2,#REF!,0),1,2,"TUAN2")),"")</f>
        <v/>
      </c>
      <c r="I65" s="32" t="str">
        <f ca="1">IFERROR(INDIRECT(ADDRESS(2,MATCH($Q$2,#REF!,0),1,2,"TUAN3")),"")</f>
        <v/>
      </c>
      <c r="J65" s="33" t="str">
        <f ca="1">IFERROR(INDIRECT(ADDRESS(2,MATCH($N$2,#REF!,0),1,2,"TUAN3")),"")</f>
        <v/>
      </c>
      <c r="K65" s="34" t="str">
        <f ca="1">IFERROR(INDIRECT(ADDRESS(2,MATCH($U$2,#REF!,0),1,2,"TUAN3")),"")</f>
        <v/>
      </c>
      <c r="L65" s="32" t="str">
        <f ca="1">IFERROR(INDIRECT(ADDRESS(2,MATCH($Q$2,#REF!,0),1,2,"TUAN4")),"")</f>
        <v/>
      </c>
      <c r="M65" s="33" t="str">
        <f ca="1">IFERROR(INDIRECT(ADDRESS(2,MATCH($N$2,#REF!,0),1,2,"TUAN4")),"")</f>
        <v/>
      </c>
      <c r="N65" s="34" t="str">
        <f ca="1">IFERROR(INDIRECT(ADDRESS(2,MATCH($U$2,#REF!,0),1,2,"TUAN4")),"")</f>
        <v/>
      </c>
      <c r="O65" s="32" t="str">
        <f ca="1">IFERROR(INDIRECT(ADDRESS(2,MATCH($Q$2,#REF!,0),1,2,"TUAN5")),"")</f>
        <v/>
      </c>
      <c r="P65" s="33" t="str">
        <f ca="1">IFERROR(INDIRECT(ADDRESS(2,MATCH($N$2,#REF!,0),1,2,"TUAN5")),"")</f>
        <v/>
      </c>
      <c r="Q65" s="33" t="str">
        <f ca="1">IFERROR(INDIRECT(ADDRESS(2,MATCH($U$2,#REF!,0),1,2,"TUAN5")),"")</f>
        <v/>
      </c>
      <c r="R65" s="59"/>
      <c r="S65" s="50"/>
      <c r="T65" s="60"/>
      <c r="U65" s="121"/>
    </row>
    <row r="66" spans="1:21" ht="10.25" customHeight="1" x14ac:dyDescent="0.35">
      <c r="A66" s="61"/>
      <c r="B66" s="62" t="s">
        <v>17</v>
      </c>
      <c r="C66" s="63" t="s">
        <v>24</v>
      </c>
      <c r="D66" s="64"/>
      <c r="E66" s="65" t="s">
        <v>27</v>
      </c>
      <c r="F66" s="66" t="s">
        <v>26</v>
      </c>
      <c r="G66" s="67"/>
      <c r="H66" s="68" t="s">
        <v>25</v>
      </c>
      <c r="I66" s="90" t="s">
        <v>18</v>
      </c>
      <c r="J66" s="91"/>
      <c r="K66" s="92"/>
      <c r="L66" s="93" t="s">
        <v>19</v>
      </c>
      <c r="M66" s="94"/>
      <c r="N66" s="95"/>
      <c r="O66" s="69"/>
      <c r="P66" s="69"/>
      <c r="Q66" s="70"/>
      <c r="R66" s="96" t="s">
        <v>20</v>
      </c>
      <c r="S66" s="97"/>
      <c r="T66" s="98"/>
      <c r="U66" s="71"/>
    </row>
    <row r="67" spans="1:21" ht="10.25" customHeight="1" x14ac:dyDescent="0.35">
      <c r="A67" s="61"/>
      <c r="B67" s="72">
        <f ca="1">SUM(E67:R67)</f>
        <v>0</v>
      </c>
      <c r="C67" s="73">
        <f ca="1">COUNTIFS(C7:T65,"1A")</f>
        <v>0</v>
      </c>
      <c r="D67" s="74"/>
      <c r="E67" s="75">
        <f ca="1">COUNTIFS($C$7:$T$65,"6*")</f>
        <v>0</v>
      </c>
      <c r="F67" s="32">
        <f ca="1">COUNTIF(C7:T65,"7*")</f>
        <v>0</v>
      </c>
      <c r="G67" s="33"/>
      <c r="H67" s="34">
        <f ca="1">COUNTIF(C7:T65,"8*")</f>
        <v>0</v>
      </c>
      <c r="I67" s="99">
        <f ca="1">COUNTIF(C7:T65,"9*")</f>
        <v>0</v>
      </c>
      <c r="J67" s="100"/>
      <c r="K67" s="101"/>
      <c r="L67" s="99">
        <f ca="1">COUNTIF(C7:T65,"10*")+COUNTIF(C7:T65,"11*")</f>
        <v>0</v>
      </c>
      <c r="M67" s="100"/>
      <c r="N67" s="101"/>
      <c r="O67" s="99"/>
      <c r="P67" s="100"/>
      <c r="Q67" s="101"/>
      <c r="R67" s="99">
        <f ca="1">COUNTIF(C7:T65,"12*")</f>
        <v>0</v>
      </c>
      <c r="S67" s="100"/>
      <c r="T67" s="101"/>
      <c r="U67" s="71"/>
    </row>
    <row r="68" spans="1:21" ht="15.75" customHeight="1" x14ac:dyDescent="0.4">
      <c r="A68" s="113" t="s">
        <v>42</v>
      </c>
      <c r="B68" s="114"/>
      <c r="C68" s="114"/>
      <c r="D68" s="114"/>
      <c r="E68" s="114"/>
      <c r="F68" s="114"/>
      <c r="G68" s="114" t="s">
        <v>43</v>
      </c>
      <c r="H68" s="114"/>
      <c r="I68" s="114"/>
      <c r="J68" s="114"/>
      <c r="K68" s="114"/>
      <c r="L68" s="115" t="s">
        <v>21</v>
      </c>
      <c r="M68" s="115"/>
      <c r="N68" s="115"/>
      <c r="O68" s="115"/>
      <c r="P68" s="115"/>
      <c r="Q68" s="115"/>
      <c r="R68" s="115"/>
      <c r="S68" s="115"/>
      <c r="T68" s="115"/>
      <c r="U68" s="116"/>
    </row>
    <row r="69" spans="1:21" ht="11.25" customHeight="1" x14ac:dyDescent="0.35">
      <c r="A69" s="76"/>
      <c r="F69" s="78"/>
      <c r="U69" s="80"/>
    </row>
    <row r="70" spans="1:21" ht="11.25" customHeight="1" x14ac:dyDescent="0.35">
      <c r="A70" s="76"/>
      <c r="G70"/>
      <c r="H70"/>
      <c r="I70"/>
      <c r="J70"/>
      <c r="K70"/>
      <c r="L70"/>
      <c r="M70"/>
      <c r="N70"/>
      <c r="O70"/>
      <c r="P70"/>
      <c r="Q70"/>
      <c r="R70"/>
      <c r="U70" s="80"/>
    </row>
    <row r="71" spans="1:21" ht="24" customHeight="1" x14ac:dyDescent="0.35">
      <c r="A71" s="81"/>
      <c r="B71" s="82"/>
      <c r="C71" s="83"/>
      <c r="D71" s="83"/>
      <c r="E71" s="83"/>
      <c r="F71" s="83"/>
      <c r="G71" s="102" t="s">
        <v>28</v>
      </c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3"/>
    </row>
    <row r="72" spans="1:21" ht="3" customHeight="1" thickBot="1" x14ac:dyDescent="0.4">
      <c r="A72" s="88"/>
      <c r="B72" s="89"/>
      <c r="C72" s="89"/>
      <c r="D72" s="89"/>
      <c r="E72" s="89"/>
      <c r="F72" s="89"/>
      <c r="G72" s="84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6"/>
      <c r="T72" s="85"/>
      <c r="U72" s="87"/>
    </row>
  </sheetData>
  <sheetProtection formatCells="0"/>
  <mergeCells count="42">
    <mergeCell ref="N2:P2"/>
    <mergeCell ref="Q2:S2"/>
    <mergeCell ref="A3:U3"/>
    <mergeCell ref="A5:B5"/>
    <mergeCell ref="C5:E5"/>
    <mergeCell ref="F5:H5"/>
    <mergeCell ref="I5:K5"/>
    <mergeCell ref="L5:N5"/>
    <mergeCell ref="O5:Q5"/>
    <mergeCell ref="R5:U5"/>
    <mergeCell ref="S4:T4"/>
    <mergeCell ref="A2:C2"/>
    <mergeCell ref="A57:A65"/>
    <mergeCell ref="A68:F68"/>
    <mergeCell ref="L68:U68"/>
    <mergeCell ref="A47:A55"/>
    <mergeCell ref="U47:U48"/>
    <mergeCell ref="U58:U65"/>
    <mergeCell ref="U50:U55"/>
    <mergeCell ref="R56:U57"/>
    <mergeCell ref="G68:K68"/>
    <mergeCell ref="U10:U16"/>
    <mergeCell ref="U17:U18"/>
    <mergeCell ref="U27:U28"/>
    <mergeCell ref="U37:U38"/>
    <mergeCell ref="A37:A45"/>
    <mergeCell ref="A27:A35"/>
    <mergeCell ref="U20:U26"/>
    <mergeCell ref="A17:A25"/>
    <mergeCell ref="U30:U36"/>
    <mergeCell ref="A7:A15"/>
    <mergeCell ref="U40:U46"/>
    <mergeCell ref="A72:F72"/>
    <mergeCell ref="I66:K66"/>
    <mergeCell ref="L66:N66"/>
    <mergeCell ref="R66:T66"/>
    <mergeCell ref="I67:K67"/>
    <mergeCell ref="L67:N67"/>
    <mergeCell ref="O67:Q67"/>
    <mergeCell ref="R67:T67"/>
    <mergeCell ref="L71:U71"/>
    <mergeCell ref="G71:K71"/>
  </mergeCells>
  <dataValidations count="1">
    <dataValidation type="list" allowBlank="1" showInputMessage="1" showErrorMessage="1" sqref="U2 N2:S2" xr:uid="{00DA29C0-4EEF-4ADD-985B-DBFA474DE47C}">
      <formula1>#REF!</formula1>
    </dataValidation>
  </dataValidations>
  <pageMargins left="0" right="0" top="0" bottom="0" header="0" footer="0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FILE IN</vt:lpstr>
      <vt:lpstr>'FILE IN'!Print_Area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Linh LPH</cp:lastModifiedBy>
  <cp:lastPrinted>2026-04-06T07:46:40Z</cp:lastPrinted>
  <dcterms:created xsi:type="dcterms:W3CDTF">2025-06-16T02:59:10Z</dcterms:created>
  <dcterms:modified xsi:type="dcterms:W3CDTF">2026-04-09T10:08:52Z</dcterms:modified>
</cp:coreProperties>
</file>